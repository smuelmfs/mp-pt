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ÃO" sheetId="1" r:id="rId4"/>
    <sheet state="visible" name="PAPEL" sheetId="2" r:id="rId5"/>
    <sheet state="visible" name="ACABAMENTO" sheetId="3" r:id="rId6"/>
    <sheet state="visible" name="CARTÕES DE VISITA" sheetId="4" r:id="rId7"/>
    <sheet state="visible" name="IMPRESSÕES SINGULARES" sheetId="5" r:id="rId8"/>
    <sheet state="visible" name="CÁLCULO CATALOGOS" sheetId="6" r:id="rId9"/>
    <sheet state="visible" name="IMP. GRANDE FORMATO" sheetId="7" r:id="rId10"/>
    <sheet state="visible" name="ENVELOPES" sheetId="8" r:id="rId11"/>
    <sheet state="visible" name="PASTAS PARA A4" sheetId="9" r:id="rId12"/>
    <sheet state="visible" name="FLEX" sheetId="10" r:id="rId13"/>
    <sheet state="visible" name="CARTOES PVC" sheetId="11" r:id="rId14"/>
    <sheet state="visible" name="ALVEOLAR" sheetId="12" r:id="rId15"/>
    <sheet state="visible" name="VINIL" sheetId="13" r:id="rId16"/>
    <sheet state="visible" name="IMPRESSÃO UV" sheetId="14" r:id="rId17"/>
    <sheet state="visible" name="PRODUTOS PUBLICITÁRIOS" sheetId="15" r:id="rId18"/>
  </sheets>
  <definedNames/>
  <calcPr/>
</workbook>
</file>

<file path=xl/sharedStrings.xml><?xml version="1.0" encoding="utf-8"?>
<sst xmlns="http://schemas.openxmlformats.org/spreadsheetml/2006/main" count="1164" uniqueCount="576">
  <si>
    <t>FORMATO IMPRESSÃO</t>
  </si>
  <si>
    <t>COR</t>
  </si>
  <si>
    <t>PREÇO POR IMPRESSÃO</t>
  </si>
  <si>
    <t>A4</t>
  </si>
  <si>
    <t>K</t>
  </si>
  <si>
    <t>SRA4</t>
  </si>
  <si>
    <t>A3</t>
  </si>
  <si>
    <t>SRA3</t>
  </si>
  <si>
    <t>33x48</t>
  </si>
  <si>
    <t>BANNER</t>
  </si>
  <si>
    <t>CMYK</t>
  </si>
  <si>
    <t>MARCA</t>
  </si>
  <si>
    <t>GLOSS / SILK</t>
  </si>
  <si>
    <t>GRAMAGEM
PAPEL</t>
  </si>
  <si>
    <t>QUANTIDADE</t>
  </si>
  <si>
    <t>PREÇO</t>
  </si>
  <si>
    <t>PREÇO / FOLHA</t>
  </si>
  <si>
    <t>INAPA</t>
  </si>
  <si>
    <t>CONDAT</t>
  </si>
  <si>
    <t>GLOSS</t>
  </si>
  <si>
    <t>SILK</t>
  </si>
  <si>
    <t>IOR 90 Gr.</t>
  </si>
  <si>
    <t>MULTIOFT</t>
  </si>
  <si>
    <t>MULTILOFT ADESIVO 1 FACE 
BRANCO</t>
  </si>
  <si>
    <t>MULTILOFT</t>
  </si>
  <si>
    <t>MULTILOFT ADESIVO 2 FACES 
VERDE TURQUESA</t>
  </si>
  <si>
    <t>IOR 90 Gr. (64x90 - CORTADO)</t>
  </si>
  <si>
    <t>Digilabel Com Cortes</t>
  </si>
  <si>
    <t>Silk</t>
  </si>
  <si>
    <t>Autocolante</t>
  </si>
  <si>
    <t>JAC-DATAPOL WHITE GLOSS 32X45</t>
  </si>
  <si>
    <t>VINIL AUTOCOLANTE PARA IMP DIGITAL</t>
  </si>
  <si>
    <t>ANTALIS</t>
  </si>
  <si>
    <t>Polylaser Branco Brilho</t>
  </si>
  <si>
    <t>NOVATECH</t>
  </si>
  <si>
    <t>DIGITAL SILK</t>
  </si>
  <si>
    <t>350Gr</t>
  </si>
  <si>
    <t>Print Speed Laser Jet,Print Speed, Laserjet, branco,</t>
  </si>
  <si>
    <t>IOR90 450x640 500un Gr cortado 32x45 -1000un</t>
  </si>
  <si>
    <t>Invercote Creato - Invercote, Creato, revestido 
2 faces, white, 100% celulose, GZ, 350g/m2,</t>
  </si>
  <si>
    <t>350gr</t>
  </si>
  <si>
    <t>CUSTO DE CORTE</t>
  </si>
  <si>
    <t>FORMATO</t>
  </si>
  <si>
    <t>VALOR</t>
  </si>
  <si>
    <t>VALOR TOTAL</t>
  </si>
  <si>
    <t>NORMAL</t>
  </si>
  <si>
    <t>A5</t>
  </si>
  <si>
    <t>CARTÃO</t>
  </si>
  <si>
    <t>COM DOBRA</t>
  </si>
  <si>
    <t>CARTÕES DE VISITA 
(ATÉ 1000 UNID.)</t>
  </si>
  <si>
    <t>PLASTIFICAÇÃO</t>
  </si>
  <si>
    <t>CUSTO PLASTIFICAÇÃO</t>
  </si>
  <si>
    <t>MEDIDA</t>
  </si>
  <si>
    <t>QUANTIDADE PASSAGENS</t>
  </si>
  <si>
    <r>
      <rPr>
        <rFont val="Arial"/>
        <b/>
        <color theme="1"/>
        <sz val="8.0"/>
      </rPr>
      <t xml:space="preserve">CUSTO ROLO 
</t>
    </r>
    <r>
      <rPr>
        <rFont val="Arial"/>
        <b val="0"/>
        <color theme="1"/>
        <sz val="8.0"/>
      </rPr>
      <t>ROLO + PORTES</t>
    </r>
  </si>
  <si>
    <t>QUANT. ROLO 
CM</t>
  </si>
  <si>
    <t>CUSTO POR CM</t>
  </si>
  <si>
    <t>PLANO 
CM</t>
  </si>
  <si>
    <t>QUANT. TOTAL
PLANOS *</t>
  </si>
  <si>
    <t>PLASTIF.
NECESSÁRIA</t>
  </si>
  <si>
    <t>CUSTO UNIT.
PLANO</t>
  </si>
  <si>
    <t>FACE</t>
  </si>
  <si>
    <t>&lt; 100</t>
  </si>
  <si>
    <t>&lt; 500</t>
  </si>
  <si>
    <t>* F/V DUPLICAR 
QUANT. PLANOS</t>
  </si>
  <si>
    <t>&gt; 500</t>
  </si>
  <si>
    <t>CARTÕES DE VISITA
1 FACE</t>
  </si>
  <si>
    <t>CARTÕES DE VISITA
2 FACES</t>
  </si>
  <si>
    <t>LAMINAÇÃO DOURADA | PRATEADA</t>
  </si>
  <si>
    <t>DOBRA QUADRADA</t>
  </si>
  <si>
    <t>COLA NA LOMBADA</t>
  </si>
  <si>
    <t>CUSTO DE AGRAFO</t>
  </si>
  <si>
    <t>QUANTIDADE
ATÉ (X) Unid.</t>
  </si>
  <si>
    <t>CORTE</t>
  </si>
  <si>
    <t>FOIL</t>
  </si>
  <si>
    <t>300m</t>
  </si>
  <si>
    <t>CUSTO</t>
  </si>
  <si>
    <t>CUSTO
UNIT. PLANO</t>
  </si>
  <si>
    <t>QUANTIDADE
PLANOS</t>
  </si>
  <si>
    <t>CUSTO
UNITÁRIO</t>
  </si>
  <si>
    <t>ATÉ 1000 
UNID.</t>
  </si>
  <si>
    <t>1 FACE</t>
  </si>
  <si>
    <t>2 FACES</t>
  </si>
  <si>
    <t>A TRANSPORTAR</t>
  </si>
  <si>
    <t>CUSTO PAPEL
MULTILOFT</t>
  </si>
  <si>
    <t>QUANTIDADE CARTÕES POR PLANO</t>
  </si>
  <si>
    <t>QUANT. PLANOS</t>
  </si>
  <si>
    <t>VALOR UNIT.</t>
  </si>
  <si>
    <t>PAPEL
MULTILOFT</t>
  </si>
  <si>
    <t>TOTAL
PRODUÇÃO</t>
  </si>
  <si>
    <t>UNIT.</t>
  </si>
  <si>
    <t>PAPEL EXT.</t>
  </si>
  <si>
    <t>PAPEL INT.</t>
  </si>
  <si>
    <t>CÁLCULO DE PRODUÇÃO DE CARTÕES DE VISITA</t>
  </si>
  <si>
    <t xml:space="preserve"> CUSTOS DE ACABAMENTO</t>
  </si>
  <si>
    <t>CLIENTE</t>
  </si>
  <si>
    <t>DESCRIÇÃO</t>
  </si>
  <si>
    <t>REF.</t>
  </si>
  <si>
    <t>QUANT.</t>
  </si>
  <si>
    <t xml:space="preserve">CUSTO
 IMPRESSÃO </t>
  </si>
  <si>
    <t>QUANT.
FOLHAS</t>
  </si>
  <si>
    <t>PLAST.</t>
  </si>
  <si>
    <t>CUSTO
 TOTAL</t>
  </si>
  <si>
    <t>TOTAL 
UNITÁRIO</t>
  </si>
  <si>
    <t>SIMPLES</t>
  </si>
  <si>
    <t>FORMATO 85X55mm 
IMPRESSÃO 4/4;</t>
  </si>
  <si>
    <t>FORMATO 85X55mm 
IMPRESSÃO 4/4; PLASTIFICADO F/V</t>
  </si>
  <si>
    <t>PLASTIFICAÇÃO 
+ FOIL 1 FACE</t>
  </si>
  <si>
    <t>FORMATO 85X55mm 
IMPRESSÃO 4/4; PLASTIFICADO F/V;
FOIL FRENTE</t>
  </si>
  <si>
    <t>FORMATO 85X55mm 
IMPRESSÃO 4/4; PLASTIFICADO F/V;
FOIL 1 FACE</t>
  </si>
  <si>
    <t>PLASTIFICAÇÃO 
+ FOIL 2 FACES</t>
  </si>
  <si>
    <t>FORMATO 85X55mm 
IMPRESSÃO 4/4; PLASTIFICADO F/V;
FOIL 2 FACES</t>
  </si>
  <si>
    <t>PLASTIFICAÇÃO 
+ FOIL 1 FACE SILACO</t>
  </si>
  <si>
    <t>VINCO</t>
  </si>
  <si>
    <t>FORMATO 
DE IMPRESSÃO</t>
  </si>
  <si>
    <t>CUSTO DE IMPRESSÃO</t>
  </si>
  <si>
    <t>GRAMAGEM</t>
  </si>
  <si>
    <t>SRA3 CMYK FRENTE</t>
  </si>
  <si>
    <t>32x46</t>
  </si>
  <si>
    <t>SRA3 CMYK FRENTE / VERSO</t>
  </si>
  <si>
    <t>2 FACE</t>
  </si>
  <si>
    <t>BANNER CMYK FRENTE</t>
  </si>
  <si>
    <t xml:space="preserve"> BANNER 1 FACE</t>
  </si>
  <si>
    <t>BANNER CMYK FRENTE / VERSO</t>
  </si>
  <si>
    <t>Total</t>
  </si>
  <si>
    <t>BANNER 2 FACE</t>
  </si>
  <si>
    <t>32x45</t>
  </si>
  <si>
    <t>CÁLCULO DE IMPRESSÕES</t>
  </si>
  <si>
    <t>QUANT.
POR PLANO</t>
  </si>
  <si>
    <t>QUANT.
PAPEL</t>
  </si>
  <si>
    <t>CUSTO UNIT.
IMP.</t>
  </si>
  <si>
    <t>CUSTO UNIT.
PAPEL</t>
  </si>
  <si>
    <t>CUSTO PAPEL</t>
  </si>
  <si>
    <t>CUSTO
 TOTAL PROD.</t>
  </si>
  <si>
    <t>% LUCRO</t>
  </si>
  <si>
    <t>TOTAL</t>
  </si>
  <si>
    <t>TOTAL UNIT.</t>
  </si>
  <si>
    <t>CUSTO UNI. sem margem</t>
  </si>
  <si>
    <t>FLYER A6 - FRENTE</t>
  </si>
  <si>
    <t>FLYER A6 - FRENTE / VERSO</t>
  </si>
  <si>
    <t>FLYER A5 - FRENTE</t>
  </si>
  <si>
    <t>FLYER A5 - FRENTE / VERSO</t>
  </si>
  <si>
    <t>FLYER A4 - FRENTE / VERSO</t>
  </si>
  <si>
    <t>CARTAZ A4 - FRENTE</t>
  </si>
  <si>
    <t>CARTAZ A3 / SRA3 - FRENTE</t>
  </si>
  <si>
    <t>PETFILLING</t>
  </si>
  <si>
    <t>Voucher 110x215mm</t>
  </si>
  <si>
    <t>WMG</t>
  </si>
  <si>
    <t>ETIQUETAS FRÁGIL</t>
  </si>
  <si>
    <t>65X110MMM</t>
  </si>
  <si>
    <t>LOJA SANTO ANTÓNIO</t>
  </si>
  <si>
    <t>Pagela Oração do Anjo 65x110mm</t>
  </si>
  <si>
    <t>Pagela Terço 75x220mm</t>
  </si>
  <si>
    <t>Cartaz Ceia 453x224mm</t>
  </si>
  <si>
    <t>Etiquetas para Caixa Terços</t>
  </si>
  <si>
    <t>Cartão 80x80mm</t>
  </si>
  <si>
    <t>Pagela Moldura</t>
  </si>
  <si>
    <t>Pagela Rosario 87x120</t>
  </si>
  <si>
    <t>Cartão 120x120mm</t>
  </si>
  <si>
    <t xml:space="preserve">Verdasca </t>
  </si>
  <si>
    <t>Diptico A5</t>
  </si>
  <si>
    <t>Mercedes</t>
  </si>
  <si>
    <t>Convite 21,5x21cm, Aberto</t>
  </si>
  <si>
    <t>MERCEDES</t>
  </si>
  <si>
    <t>Cartão a5 210x148 laminado</t>
  </si>
  <si>
    <t>Cartão a5 210x148 simples</t>
  </si>
  <si>
    <t>Cartão a4 com dobra a5 laminado</t>
  </si>
  <si>
    <t>Cartão a4 com dobra a5</t>
  </si>
  <si>
    <t>CLARA E GEMA</t>
  </si>
  <si>
    <t>Autocolante camponios</t>
  </si>
  <si>
    <t>casamentos</t>
  </si>
  <si>
    <t>Pagelas Casamento</t>
  </si>
  <si>
    <t>ARTMA</t>
  </si>
  <si>
    <t>FLYER 95x188</t>
  </si>
  <si>
    <t>ACABAMENTO</t>
  </si>
  <si>
    <t>ABEA</t>
  </si>
  <si>
    <t>festas bairro</t>
  </si>
  <si>
    <t>EMENTA BAIRRO</t>
  </si>
  <si>
    <t>Folha autocolante impressa</t>
  </si>
  <si>
    <t>AVENAL</t>
  </si>
  <si>
    <t>PAPEL VINIL 220x90</t>
  </si>
  <si>
    <t>FET</t>
  </si>
  <si>
    <t>Impressão A5  duatlo</t>
  </si>
  <si>
    <t>Cartaz A3 Constragimento  duatlo</t>
  </si>
  <si>
    <t xml:space="preserve">TOTAL </t>
  </si>
  <si>
    <t>Cartaz A5 F/V Constragimento  duatlo</t>
  </si>
  <si>
    <t>Impressão A5 reis</t>
  </si>
  <si>
    <t>Cartaz A3  reis</t>
  </si>
  <si>
    <t>Cartaz A6   reis</t>
  </si>
  <si>
    <t>urna acrilico</t>
  </si>
  <si>
    <t>digiwest</t>
  </si>
  <si>
    <t>folha timbrada »</t>
  </si>
  <si>
    <t>Pianos</t>
  </si>
  <si>
    <t>cartões</t>
  </si>
  <si>
    <t>SIROISTRANS</t>
  </si>
  <si>
    <t>CALENDARIO TRIANGULAR</t>
  </si>
  <si>
    <t>Tiago Trail</t>
  </si>
  <si>
    <t>Postal</t>
  </si>
  <si>
    <t>simao</t>
  </si>
  <si>
    <t>folhas</t>
  </si>
  <si>
    <t>Adriana Antunes</t>
  </si>
  <si>
    <t>Folhas papel impresso, voucher com foil</t>
  </si>
  <si>
    <t>TANUXA</t>
  </si>
  <si>
    <t>ISCF</t>
  </si>
  <si>
    <t>Folha Papel autocolante</t>
  </si>
  <si>
    <t>Joana</t>
  </si>
  <si>
    <t>Impressoes diversas</t>
  </si>
  <si>
    <t>Tania</t>
  </si>
  <si>
    <t>Menu guilherme</t>
  </si>
  <si>
    <t>Triptico stockled</t>
  </si>
  <si>
    <t>profial</t>
  </si>
  <si>
    <t>Autocolante vidros</t>
  </si>
  <si>
    <t>Ementas singulares</t>
  </si>
  <si>
    <t>ROTA</t>
  </si>
  <si>
    <t>Papel Timbrado 1000 un ior</t>
  </si>
  <si>
    <t>CV</t>
  </si>
  <si>
    <t>Papel Timbrado continuo 1000 un ior</t>
  </si>
  <si>
    <t>LINEXTRAS</t>
  </si>
  <si>
    <t>Cv 250un</t>
  </si>
  <si>
    <t>Cv 500un</t>
  </si>
  <si>
    <t>SILACO</t>
  </si>
  <si>
    <t>Raquel Dias</t>
  </si>
  <si>
    <t>Folheto A5</t>
  </si>
  <si>
    <t>Cartaz a3</t>
  </si>
  <si>
    <t>Martooliveira</t>
  </si>
  <si>
    <t>Folhas timbrada</t>
  </si>
  <si>
    <t>miradouro</t>
  </si>
  <si>
    <t>Bloco a5 personalizado</t>
  </si>
  <si>
    <t>CV MARTO e OLIVEIRA</t>
  </si>
  <si>
    <t>Sequeira</t>
  </si>
  <si>
    <t>Bruno</t>
  </si>
  <si>
    <t xml:space="preserve">Folhas </t>
  </si>
  <si>
    <t>Folhas cartaz a3</t>
  </si>
  <si>
    <t>INNOVCOATING</t>
  </si>
  <si>
    <t>Triptico stockled 2025</t>
  </si>
  <si>
    <t>Folhas convite cla 250</t>
  </si>
  <si>
    <t>Juanito Baker</t>
  </si>
  <si>
    <t>flyer 25x25</t>
  </si>
  <si>
    <t>Folha a3</t>
  </si>
  <si>
    <t>stockled</t>
  </si>
  <si>
    <t>Folha papel autocolante</t>
  </si>
  <si>
    <t>DGPM GOV</t>
  </si>
  <si>
    <t>Papel couche 250gr</t>
  </si>
  <si>
    <t>Papel autocolante</t>
  </si>
  <si>
    <t>general bat</t>
  </si>
  <si>
    <t>IREDA4SKILLS</t>
  </si>
  <si>
    <t>Marcador</t>
  </si>
  <si>
    <t>cartaz a2</t>
  </si>
  <si>
    <t>cartaz a3</t>
  </si>
  <si>
    <t>CV especial</t>
  </si>
  <si>
    <t xml:space="preserve">star entertainment </t>
  </si>
  <si>
    <t>flyer a5</t>
  </si>
  <si>
    <t>cartaz  simao</t>
  </si>
  <si>
    <t>cartaz a4</t>
  </si>
  <si>
    <t>senhas</t>
  </si>
  <si>
    <t>cliente wmg</t>
  </si>
  <si>
    <t>BFERREIRA</t>
  </si>
  <si>
    <t>Folha timbrada</t>
  </si>
  <si>
    <t xml:space="preserve">ALOQUETE </t>
  </si>
  <si>
    <t>EMENTAS</t>
  </si>
  <si>
    <t>EMENTAS VINHOS</t>
  </si>
  <si>
    <t>Aquino</t>
  </si>
  <si>
    <t>Cartaz</t>
  </si>
  <si>
    <t>workmi</t>
  </si>
  <si>
    <t>folha timbrada</t>
  </si>
  <si>
    <t>Flyer A5</t>
  </si>
  <si>
    <t>CV stockled</t>
  </si>
  <si>
    <t>CV STockled</t>
  </si>
  <si>
    <t>PAPEL</t>
  </si>
  <si>
    <t>PLASTIFICAÇÃO (VALOR COM MARGEM DE LUCRO)</t>
  </si>
  <si>
    <t>LAMINAÇÃO FOIL (VALOR COM MARGEM LUCRO)</t>
  </si>
  <si>
    <t>CUSTO
TOTAL</t>
  </si>
  <si>
    <t>SRA3 CMYK</t>
  </si>
  <si>
    <t>banner</t>
  </si>
  <si>
    <t xml:space="preserve"> </t>
  </si>
  <si>
    <t>DOBRA  - VALOR COM MARGEM DE LUCRO</t>
  </si>
  <si>
    <t>COLA (VALOR COM MARGEM DE LUCRO)</t>
  </si>
  <si>
    <t>INSERIR QUANTIDADE A CALCULAR</t>
  </si>
  <si>
    <t>Unidade</t>
  </si>
  <si>
    <t>Quantidade Total</t>
  </si>
  <si>
    <t>CUSTO TOTAL</t>
  </si>
  <si>
    <t>DESCRIÇÃO CATÁLOGOS</t>
  </si>
  <si>
    <t>CÁLCULO DE PRODUÇÃO DE CATÁLOGOS</t>
  </si>
  <si>
    <t>QUANT.
PÁGINAS</t>
  </si>
  <si>
    <t>FACES
IMPRESSAS</t>
  </si>
  <si>
    <t>CUSTO 
PAPEL</t>
  </si>
  <si>
    <t>CORTE 
(22€/HORA)</t>
  </si>
  <si>
    <t>AGRAFO
DOBRA</t>
  </si>
  <si>
    <t>COLA</t>
  </si>
  <si>
    <t>CUSTO
 UNIT. PROD.</t>
  </si>
  <si>
    <t>VERDASCA</t>
  </si>
  <si>
    <t>CAPA BROCHURA PAV.  PAPEL 250 GRS</t>
  </si>
  <si>
    <t>PREÇO UNIT.
FINAL</t>
  </si>
  <si>
    <t>MIOLO BROCHURA PAV.  PAPEL 150 GRS</t>
  </si>
  <si>
    <t>CAPA BROCHURA EST.  PAPEL 250 GRS</t>
  </si>
  <si>
    <t>MIOLO BROCHURA EST.  PAPEL 150 GRS</t>
  </si>
  <si>
    <t>CAPA FACHADA  PAPEL 250 GRS</t>
  </si>
  <si>
    <t>MIOLO FACHADA EST.  PAPEL 150 GRS</t>
  </si>
  <si>
    <t>REVISTA GUIA DE GATINHO 100x210. 150grs</t>
  </si>
  <si>
    <t>REVISTA MANUAL CACHORO 100x210. 170grs</t>
  </si>
  <si>
    <t>EFICACIA</t>
  </si>
  <si>
    <t>CAPA BROCHURA Eficacia  PAPEL 250 GRS</t>
  </si>
  <si>
    <t>MIOLO BROCHURA  Eficacia  PAPEL 150 GRS</t>
  </si>
  <si>
    <t>CAPA BROCHURA Eficacia  PAPEL 350 GRS</t>
  </si>
  <si>
    <t>SODARCA</t>
  </si>
  <si>
    <t>MIOLO BROCHURA  Eficacia  PAPEL 140 GRS</t>
  </si>
  <si>
    <t>pineforest</t>
  </si>
  <si>
    <t>diptico em papel 150g</t>
  </si>
  <si>
    <t>soudias</t>
  </si>
  <si>
    <t>missal</t>
  </si>
  <si>
    <t>artma</t>
  </si>
  <si>
    <t>CAPA BROCHURA Eficacia  PAPEL 300 GRS</t>
  </si>
  <si>
    <t>MIOLO BROCHURA  PAPEL 150 GRS</t>
  </si>
  <si>
    <t>DJANIRA MONTALVAO DA LUZ</t>
  </si>
  <si>
    <t>CAPA Livro</t>
  </si>
  <si>
    <t xml:space="preserve">MIOLO </t>
  </si>
  <si>
    <t>curriculo</t>
  </si>
  <si>
    <t>HARMA</t>
  </si>
  <si>
    <t>Sr. Gustavo</t>
  </si>
  <si>
    <t>SOHNIV</t>
  </si>
  <si>
    <t>BRUNO</t>
  </si>
  <si>
    <t>ROTA e SILVA</t>
  </si>
  <si>
    <t>PERCENTRO</t>
  </si>
  <si>
    <t>Aguas centro Litorall</t>
  </si>
  <si>
    <t>capa</t>
  </si>
  <si>
    <t>MIOLO BROCHURA PAV.  PAPEL ior 90</t>
  </si>
  <si>
    <t>concurso wmg</t>
  </si>
  <si>
    <t>concurso laminam</t>
  </si>
  <si>
    <t>MIOLO BROCHURA PAV.  PAPEL 150</t>
  </si>
  <si>
    <t>IMPRESSÃO</t>
  </si>
  <si>
    <t>FORNECEDOR</t>
  </si>
  <si>
    <t>Preço m2</t>
  </si>
  <si>
    <t>Quant.
m2</t>
  </si>
  <si>
    <t>Quantidade por m2 para manter preço</t>
  </si>
  <si>
    <t>CUSTO
PRODUÇÃO</t>
  </si>
  <si>
    <t>Caixas de Luz</t>
  </si>
  <si>
    <t>Leiripantone</t>
  </si>
  <si>
    <r>
      <rPr>
        <rFont val="Arial"/>
        <b/>
        <color theme="1"/>
        <sz val="8.0"/>
      </rPr>
      <t>MÃO OBRA</t>
    </r>
    <r>
      <rPr>
        <rFont val="Arial"/>
        <color theme="1"/>
        <sz val="8.0"/>
      </rPr>
      <t xml:space="preserve"> - 22€ / HORA</t>
    </r>
  </si>
  <si>
    <t>Impressão de Lona</t>
  </si>
  <si>
    <t>NHM</t>
  </si>
  <si>
    <t>Vinil Microperfurado Impresso</t>
  </si>
  <si>
    <t>BE EXPO.</t>
  </si>
  <si>
    <t>Tela para Roll Up</t>
  </si>
  <si>
    <t>Vinil para Balcao Painel Track com Laminação Mate</t>
  </si>
  <si>
    <t>DTF</t>
  </si>
  <si>
    <t>Publifast</t>
  </si>
  <si>
    <t>Impressão de papel em plotter</t>
  </si>
  <si>
    <t>Impressão de papel em plotter  1,5m</t>
  </si>
  <si>
    <t>Impressção Vinil UV</t>
  </si>
  <si>
    <t xml:space="preserve">Impressção Vinil </t>
  </si>
  <si>
    <t>Impressção Vinil + Laminação</t>
  </si>
  <si>
    <t>vinil impresso s/ corte - 15.00€m2</t>
  </si>
  <si>
    <t>vinil impresso c/ corte - 18.00€m2</t>
  </si>
  <si>
    <t>vinil impresso + laminação - 25.00€m2</t>
  </si>
  <si>
    <t>impressão UV plana s/branco - 10.00€m2</t>
  </si>
  <si>
    <t>impressão UV plana c/branco - 12.00€m2</t>
  </si>
  <si>
    <t>ENVELOPES</t>
  </si>
  <si>
    <t>TIPO</t>
  </si>
  <si>
    <t>CUSTO UNITÁRIO</t>
  </si>
  <si>
    <t>IMPRESSÃO DL</t>
  </si>
  <si>
    <t>DL 90</t>
  </si>
  <si>
    <t>JANELA</t>
  </si>
  <si>
    <t>S JANELA</t>
  </si>
  <si>
    <t>DL 120</t>
  </si>
  <si>
    <t>RIVER BUILD</t>
  </si>
  <si>
    <t>ENVELOPES DL</t>
  </si>
  <si>
    <t>DIGIWEST</t>
  </si>
  <si>
    <t>PIANOS</t>
  </si>
  <si>
    <t>DOBRA</t>
  </si>
  <si>
    <t>SRA3 CMYK SÓ FRENTE</t>
  </si>
  <si>
    <t>BOLSA</t>
  </si>
  <si>
    <t>FERRAGEM</t>
  </si>
  <si>
    <t>CUSTO UNIT.
PROD.</t>
  </si>
  <si>
    <t>NX ARQUITETOS</t>
  </si>
  <si>
    <t>PASTAS A4
IMP. 1 LADO
PLASTI 1 LADO
BOLSA</t>
  </si>
  <si>
    <t>CHUCKING UP</t>
  </si>
  <si>
    <t>RIVERBUILD</t>
  </si>
  <si>
    <t>DESENHOS CRIATIVOS</t>
  </si>
  <si>
    <t>PASTAS A4
IMP. 1 LADO
PLASTI 1 LADO + FOIL DOURADO
BOLSA</t>
  </si>
  <si>
    <t>Silaco</t>
  </si>
  <si>
    <t>PASTAS A4
IMP. 1 LADO
PLASTI 1 LADO + BOLSA</t>
  </si>
  <si>
    <t>PASTAS A4
IMP. 1 LADO
PLASTI 1 LADO + FERRAGEM</t>
  </si>
  <si>
    <t>FLEX</t>
  </si>
  <si>
    <t>Medida</t>
  </si>
  <si>
    <t>Custo Unitário</t>
  </si>
  <si>
    <t>PERSONALIZAÇÃO DE POSTES</t>
  </si>
  <si>
    <t>PERSONALIZAÇÃO DE TENDAS</t>
  </si>
  <si>
    <t>10 x 10</t>
  </si>
  <si>
    <t>Nr de logos por lado</t>
  </si>
  <si>
    <t>Preço</t>
  </si>
  <si>
    <t>FACES</t>
  </si>
  <si>
    <t>LOGOS tamanho</t>
  </si>
  <si>
    <t>PREÇO 
Material</t>
  </si>
  <si>
    <t>mao obra
 tempo</t>
  </si>
  <si>
    <t>logos tamanho</t>
  </si>
  <si>
    <t>21 x 10</t>
  </si>
  <si>
    <t>Postes 1 Frente</t>
  </si>
  <si>
    <t>1-face</t>
  </si>
  <si>
    <t>120x17</t>
  </si>
  <si>
    <t>240x17</t>
  </si>
  <si>
    <t>21 x 20</t>
  </si>
  <si>
    <t>Postes F/V até 10cm</t>
  </si>
  <si>
    <t>2-faces</t>
  </si>
  <si>
    <t>23x20 +-</t>
  </si>
  <si>
    <t>Postes F/V  até 21cm</t>
  </si>
  <si>
    <t>3-faces</t>
  </si>
  <si>
    <t>30 x 21</t>
  </si>
  <si>
    <t>4-faces</t>
  </si>
  <si>
    <t>PRODUTO</t>
  </si>
  <si>
    <t>MODELO</t>
  </si>
  <si>
    <t>CUSTO SUPORTE</t>
  </si>
  <si>
    <t>VALOR COM %</t>
  </si>
  <si>
    <t>FRENTE</t>
  </si>
  <si>
    <t>VERSO</t>
  </si>
  <si>
    <t>CUSTO IMPRESSÃO</t>
  </si>
  <si>
    <t>CUSTO
PRODUÇÃO UNITÁRIO</t>
  </si>
  <si>
    <t>TOTAL
UNITÁRIO</t>
  </si>
  <si>
    <t>João Vitorino</t>
  </si>
  <si>
    <t>T-shirts</t>
  </si>
  <si>
    <t>TH ANKHARA</t>
  </si>
  <si>
    <t>ROLY BEAGLE</t>
  </si>
  <si>
    <t>CNE POUSOS</t>
  </si>
  <si>
    <t>ROLY STAFFORD OPÇÃO simples</t>
  </si>
  <si>
    <t>HEV/DTF</t>
  </si>
  <si>
    <t>ROLY STAFFORD OPÇÃO F/V</t>
  </si>
  <si>
    <t>ROLY STAFFORD CRIANÇA OPÇAO 1</t>
  </si>
  <si>
    <t>CNE BATALHA</t>
  </si>
  <si>
    <t>TERRAÇOS</t>
  </si>
  <si>
    <t>COLETES</t>
  </si>
  <si>
    <t>zircom</t>
  </si>
  <si>
    <t>polo</t>
  </si>
  <si>
    <t>carpe</t>
  </si>
  <si>
    <t>catarina</t>
  </si>
  <si>
    <t>sweat</t>
  </si>
  <si>
    <t>vera</t>
  </si>
  <si>
    <t>tshirt</t>
  </si>
  <si>
    <t>Roly atomic 100un</t>
  </si>
  <si>
    <t>Roly atomic</t>
  </si>
  <si>
    <t>Festas pederneira</t>
  </si>
  <si>
    <t>TH Luanda</t>
  </si>
  <si>
    <t>CARTUXO</t>
  </si>
  <si>
    <t>TEMPO PRODUÇÃO</t>
  </si>
  <si>
    <t>VALORES DE MERCADO</t>
  </si>
  <si>
    <t>CUSTO
CARTUXO</t>
  </si>
  <si>
    <t>CAPACIDADE
ESTIMADA</t>
  </si>
  <si>
    <t>TEMPO MÉDIO 
(SEGUNDOS)</t>
  </si>
  <si>
    <t>TEMPO TOTAL PRODUÇÃO</t>
  </si>
  <si>
    <t>CONCORRENTE</t>
  </si>
  <si>
    <t>BRANCO SIMPLES</t>
  </si>
  <si>
    <t>Pixarprinting</t>
  </si>
  <si>
    <t>BRANCO BANDA MAGNETICA</t>
  </si>
  <si>
    <t>BRANCO CHIP</t>
  </si>
  <si>
    <t>ATENÇÃO! 
IMPRESSÃO FRENTE E VERSO CONTABILIZA 2 IMPRESSÕES</t>
  </si>
  <si>
    <t>FRENTE E VERSO</t>
  </si>
  <si>
    <t>TRANSPARENTE</t>
  </si>
  <si>
    <t>SEGUNDOS</t>
  </si>
  <si>
    <t xml:space="preserve"> MINUTOS</t>
  </si>
  <si>
    <t>HORAS</t>
  </si>
  <si>
    <t>CUSTO PRODUÇÃO</t>
  </si>
  <si>
    <t>CÁLCULO VENDA</t>
  </si>
  <si>
    <t>CUSTO UNIT.
CARTÃO</t>
  </si>
  <si>
    <t>CUSTO UNIT.
IMPRESSÃO</t>
  </si>
  <si>
    <t>CUSTO UNIT.
PRODUÇÃO</t>
  </si>
  <si>
    <t>CUSTO TOTAL
PRODUÇÃO</t>
  </si>
  <si>
    <t>LUCRO (%)</t>
  </si>
  <si>
    <t>PVP TOTAL</t>
  </si>
  <si>
    <t>PVP UNIT</t>
  </si>
  <si>
    <t>CAÇAURQ</t>
  </si>
  <si>
    <t>Impressão 4/0</t>
  </si>
  <si>
    <t>NOF</t>
  </si>
  <si>
    <t>Celia Bras</t>
  </si>
  <si>
    <t>Impressão 4/4</t>
  </si>
  <si>
    <t>fet</t>
  </si>
  <si>
    <t>CUSTO PRODUÇÃO DE PLACAS AVEOLAR</t>
  </si>
  <si>
    <r>
      <rPr>
        <rFont val="Arial"/>
        <b/>
        <color rgb="FFFFFFFF"/>
        <sz val="10.0"/>
      </rPr>
      <t>Alveolar</t>
    </r>
    <r>
      <rPr>
        <rFont val="Arial"/>
        <b/>
        <color rgb="FFFFFFFF"/>
        <sz val="8.0"/>
      </rPr>
      <t xml:space="preserve">
</t>
    </r>
    <r>
      <rPr>
        <rFont val="Arial"/>
        <b val="0"/>
        <color rgb="FFFFFFFF"/>
        <sz val="8.0"/>
      </rPr>
      <t>CARACTERÍSTICAS DO ALVEOLAR
FORNECIDO</t>
    </r>
  </si>
  <si>
    <t>DIMENSÃO</t>
  </si>
  <si>
    <t>LARGURA
 ( M )</t>
  </si>
  <si>
    <t>COMPRIMENTO
( M )</t>
  </si>
  <si>
    <t>CUSTO 
FORNECEDOR</t>
  </si>
  <si>
    <t>CUSTO M / 2</t>
  </si>
  <si>
    <t xml:space="preserve">LARGURA
( M ) </t>
  </si>
  <si>
    <t>ALTURA
( M )</t>
  </si>
  <si>
    <t>M / 2</t>
  </si>
  <si>
    <t>Dipac Light White PP Multiwall Sheet 
\\2000x2000x 5mm
1,2m x 90</t>
  </si>
  <si>
    <t>Dipac Light White PP Multiwall Sheet 
\\2000x2000x 5mm
1m x 0,54 m</t>
  </si>
  <si>
    <t xml:space="preserve">Dipac Light White PP Multiwall Sheet 
\\2000x2000x 5mm
90 x 60 </t>
  </si>
  <si>
    <t xml:space="preserve">Dipac Light White PP Multiwall Sheet 
\\2500x2000x 5mm
120 x 70 </t>
  </si>
  <si>
    <t>Dipac High Perform White PP Multiwall Sh 
\\3040x2020x 3,5mm</t>
  </si>
  <si>
    <t>PLACA FOAM LIGHT BRANCO 3050x2050x 5mm</t>
  </si>
  <si>
    <t xml:space="preserve">PLACA FOAM LIGHT BRANCO 3050x2050x 4mm </t>
  </si>
  <si>
    <t>PLACA  ACM 3 mm 1500x1000</t>
  </si>
  <si>
    <t>CUSTO PRODUÇÃO DE VINIL</t>
  </si>
  <si>
    <r>
      <rPr>
        <rFont val="Arial"/>
        <b/>
        <color rgb="FFFFFFFF"/>
        <sz val="10.0"/>
      </rPr>
      <t>VINIL</t>
    </r>
    <r>
      <rPr>
        <rFont val="Arial"/>
        <b/>
        <color rgb="FFFFFFFF"/>
        <sz val="8.0"/>
      </rPr>
      <t xml:space="preserve">
</t>
    </r>
    <r>
      <rPr>
        <rFont val="Arial"/>
        <b val="0"/>
        <color rgb="FFFFFFFF"/>
        <sz val="8.0"/>
      </rPr>
      <t>CARACTERÍSTICAS DO VINIL
FORNECIDO</t>
    </r>
  </si>
  <si>
    <t>LARGURA 
IGUAL 
AO ROLO</t>
  </si>
  <si>
    <t>Suptac S5001B Polar White Gloss 
615mm x 5m</t>
  </si>
  <si>
    <t>Suptac S5001B Suptac S5889B Coal Black Gloss 615mm x 5m</t>
  </si>
  <si>
    <t>Suptac S5001B Polar White Gloss 
615mm x 10m</t>
  </si>
  <si>
    <t xml:space="preserve">  </t>
  </si>
  <si>
    <t>Ecotac E3877B Silver Gloss 615mm x 5m</t>
  </si>
  <si>
    <t>Ecotac E3151B Orange Gloss 615mm x 5m</t>
  </si>
  <si>
    <t>FLEX BRANCO</t>
  </si>
  <si>
    <t>Suptac S5165B Mandarin Orange Gloss 615mm x 5m</t>
  </si>
  <si>
    <t xml:space="preserve">FOSCO LT5510M Etched Glass Deep Silver Matt 1220mm x 5m        </t>
  </si>
  <si>
    <t xml:space="preserve">Ecotac E3485M Fire Red Matt 615mm x 5m     </t>
  </si>
  <si>
    <t xml:space="preserve">Ecotac azul Matt 615mm x 5m     </t>
  </si>
  <si>
    <t xml:space="preserve">Ecotac preto Matt 615mm x 5m     </t>
  </si>
  <si>
    <t>Luxtac S5ICEM Etched Glass ICE White Matt 1230mm x 5m	75,58€</t>
  </si>
  <si>
    <t>Ecotac E3485B Fire Red Gloss 615mm x 10m</t>
  </si>
  <si>
    <t>Calculo m2 
placas</t>
  </si>
  <si>
    <t>Medida m2</t>
  </si>
  <si>
    <t>Un. por gabarito</t>
  </si>
  <si>
    <t>preço</t>
  </si>
  <si>
    <t>CALCULO 
suporte imp.</t>
  </si>
  <si>
    <t>Nr. Placas</t>
  </si>
  <si>
    <t>tamanho corte</t>
  </si>
  <si>
    <t>qt. por placa</t>
  </si>
  <si>
    <t>preço corte</t>
  </si>
  <si>
    <t>total</t>
  </si>
  <si>
    <t>Material</t>
  </si>
  <si>
    <t>tamanho total</t>
  </si>
  <si>
    <t>PVC 3050x1220x3mm</t>
  </si>
  <si>
    <t>580x634</t>
  </si>
  <si>
    <t>DTF Uv (Folha A3)</t>
  </si>
  <si>
    <t>Placa 20x20 AL</t>
  </si>
  <si>
    <t>Impressão UV (m2)</t>
  </si>
  <si>
    <t>Canetas</t>
  </si>
  <si>
    <t>Lapis</t>
  </si>
  <si>
    <t>Calculo Preço C/ 
gabarito personalizado</t>
  </si>
  <si>
    <t xml:space="preserve">tamanho </t>
  </si>
  <si>
    <t>Largura</t>
  </si>
  <si>
    <t>Unidades plano</t>
  </si>
  <si>
    <t>Preço uni</t>
  </si>
  <si>
    <t>Tamanho 
max imp.</t>
  </si>
  <si>
    <t>m2</t>
  </si>
  <si>
    <t>Preço imp.</t>
  </si>
  <si>
    <t>por gabarito</t>
  </si>
  <si>
    <t>nr peças 
por suporte</t>
  </si>
  <si>
    <t>Preço un 
suporte de imp.</t>
  </si>
  <si>
    <t>Preço un
imp+material</t>
  </si>
  <si>
    <t>TOTAL UNI.</t>
  </si>
  <si>
    <t>%Margem</t>
  </si>
  <si>
    <t>Total uni. c/ margem</t>
  </si>
  <si>
    <t>Placa c/ 8un</t>
  </si>
  <si>
    <t>Preço %</t>
  </si>
  <si>
    <t>Acrilico</t>
  </si>
  <si>
    <t>Acrilico bola</t>
  </si>
  <si>
    <t>Placa 17x7 5mm</t>
  </si>
  <si>
    <t>Placa 20x20</t>
  </si>
  <si>
    <t>Placa 30x15</t>
  </si>
  <si>
    <t>placa 40x70</t>
  </si>
  <si>
    <t>Caderno Cirux</t>
  </si>
  <si>
    <t>PLACA ACP IMPRESSA</t>
  </si>
  <si>
    <t>caixa lapis</t>
  </si>
  <si>
    <t xml:space="preserve">Placa PVC 5mm </t>
  </si>
  <si>
    <t>VINIL JOAO</t>
  </si>
  <si>
    <t>placa 20x60 João</t>
  </si>
  <si>
    <t>Ref</t>
  </si>
  <si>
    <t>SUPORTE</t>
  </si>
  <si>
    <t>TECOFIX</t>
  </si>
  <si>
    <t>ROLL UP</t>
  </si>
  <si>
    <t>Base Roll Up
Weddt - 15,54 €</t>
  </si>
  <si>
    <t>Tela 85x200
Leiripantone - 35 €</t>
  </si>
  <si>
    <t>Bandeira Gota</t>
  </si>
  <si>
    <t>Estrutua Weddt Bandeira Gota 2,2m
Suporte - 15,61 €
Boia - 5,08 €
Pé - 24,06</t>
  </si>
  <si>
    <t>Impressão e Acabamento
Publifast - 32,39 €</t>
  </si>
  <si>
    <t>RODRIGUES &amp; GONÇALVES</t>
  </si>
  <si>
    <t>BALCÃO PANEL TRACK</t>
  </si>
  <si>
    <t>Balcaão WEDDT
100,42 €</t>
  </si>
  <si>
    <t>Impressão
NHM - 45 €</t>
  </si>
  <si>
    <r>
      <rPr>
        <rFont val="Arial"/>
        <b/>
        <color rgb="FFFFFFFF"/>
        <sz val="8.0"/>
      </rPr>
      <t xml:space="preserve">Aplicação (RED) 
</t>
    </r>
    <r>
      <rPr>
        <rFont val="Arial"/>
        <color rgb="FFFFFFFF"/>
        <sz val="8.0"/>
      </rPr>
      <t>45€</t>
    </r>
  </si>
  <si>
    <t>Balcao Promocional A</t>
  </si>
  <si>
    <t>Impressão NHM 
Peça 1 - 12 € 
Peça 2 - 60</t>
  </si>
  <si>
    <t>Dimatur  - 16,91 €</t>
  </si>
  <si>
    <t>Tela rollup 85x200
Leiripantone - 55 €</t>
  </si>
  <si>
    <t>Tela / lona 85x200
NHM -30 €</t>
  </si>
  <si>
    <t>Abbott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</si>
</sst>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#,##0.000\ [$€-1]"/>
    <numFmt numFmtId="166" formatCode="#,##0.0000000\ [$€-1]"/>
    <numFmt numFmtId="167" formatCode="#,##0&quot;€&quot;"/>
    <numFmt numFmtId="168" formatCode="yyyy/mm/dd"/>
    <numFmt numFmtId="169" formatCode="0.000"/>
  </numFmts>
  <fonts count="32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11.0"/>
      <color rgb="FF000000"/>
      <name val="&quot;Source Sans Pro&quot;"/>
    </font>
    <font>
      <sz val="11.0"/>
      <color rgb="FF000033"/>
      <name val="&quot;Source Sans Pro&quot;"/>
    </font>
    <font>
      <b/>
      <sz val="8.0"/>
      <color theme="1"/>
      <name val="Arial"/>
    </font>
    <font/>
    <font>
      <sz val="8.0"/>
      <color theme="1"/>
      <name val="Arial"/>
    </font>
    <font>
      <b/>
      <sz val="8.0"/>
      <color rgb="FFFFFFFF"/>
      <name val="Arial"/>
      <scheme val="minor"/>
    </font>
    <font>
      <sz val="8.0"/>
      <color rgb="FFFFFFFF"/>
      <name val="Arial"/>
      <scheme val="minor"/>
    </font>
    <font>
      <color theme="1"/>
      <name val="Arial"/>
    </font>
    <font>
      <sz val="8.0"/>
      <color rgb="FF000000"/>
      <name val="Arial"/>
      <scheme val="minor"/>
    </font>
    <font>
      <sz val="8.0"/>
      <color rgb="FFFFFFFF"/>
      <name val="Arial"/>
    </font>
    <font>
      <b/>
      <sz val="8.0"/>
      <color theme="1"/>
      <name val="Calibri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b/>
      <sz val="8.0"/>
      <color rgb="FFB6D7A8"/>
      <name val="Arial"/>
      <scheme val="minor"/>
    </font>
    <font>
      <b/>
      <color theme="0"/>
      <name val="Arial"/>
      <scheme val="minor"/>
    </font>
    <font>
      <b/>
      <color rgb="FF000000"/>
      <name val="Arial"/>
      <scheme val="minor"/>
    </font>
    <font>
      <b/>
      <sz val="8.0"/>
      <color theme="0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color rgb="FF222222"/>
      <name val="Arial"/>
    </font>
    <font>
      <sz val="9.0"/>
      <color theme="1"/>
      <name val="Arial"/>
      <scheme val="minor"/>
    </font>
    <font>
      <sz val="9.0"/>
      <color theme="1"/>
      <name val="Arial"/>
    </font>
    <font>
      <b/>
      <sz val="8.0"/>
      <color rgb="FF000000"/>
      <name val="Arial"/>
      <scheme val="minor"/>
    </font>
    <font>
      <b/>
      <sz val="10.0"/>
      <color rgb="FFFFFFFF"/>
      <name val="Arial"/>
      <scheme val="minor"/>
    </font>
    <font>
      <sz val="8.0"/>
      <color rgb="FF666666"/>
      <name val="Arial"/>
      <scheme val="minor"/>
    </font>
    <font>
      <sz val="11.0"/>
      <color rgb="FF666666"/>
      <name val="&quot;Open Sans&quot;"/>
    </font>
    <font>
      <sz val="10.0"/>
      <color rgb="FF25282B"/>
      <name val="Arial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8E7EB"/>
        <bgColor rgb="FFE8E7EB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FFFAEA"/>
        <bgColor rgb="FFFFFAEA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5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0" fillId="4" fontId="3" numFmtId="0" xfId="0" applyFill="1" applyFont="1"/>
    <xf borderId="1" fillId="5" fontId="2" numFmtId="0" xfId="0" applyAlignment="1" applyBorder="1" applyFill="1" applyFont="1">
      <alignment horizontal="center" readingOrder="0" vertical="center"/>
    </xf>
    <xf borderId="1" fillId="5" fontId="2" numFmtId="164" xfId="0" applyAlignment="1" applyBorder="1" applyFont="1" applyNumberForma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" numFmtId="164" xfId="0" applyAlignment="1" applyFont="1" applyNumberFormat="1">
      <alignment horizontal="center" vertical="center"/>
    </xf>
    <xf borderId="0" fillId="0" fontId="3" numFmtId="164" xfId="0" applyFont="1" applyNumberFormat="1"/>
    <xf borderId="1" fillId="0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7" fontId="1" numFmtId="164" xfId="0" applyAlignment="1" applyBorder="1" applyFill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7" fontId="1" numFmtId="164" xfId="0" applyAlignment="1" applyBorder="1" applyFont="1" applyNumberFormat="1">
      <alignment horizontal="center" vertical="center"/>
    </xf>
    <xf borderId="1" fillId="7" fontId="1" numFmtId="165" xfId="0" applyAlignment="1" applyBorder="1" applyFont="1" applyNumberForma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0" fillId="8" fontId="5" numFmtId="0" xfId="0" applyAlignment="1" applyFill="1" applyFont="1">
      <alignment horizontal="center" readingOrder="0"/>
    </xf>
    <xf borderId="0" fillId="9" fontId="6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6" fontId="3" numFmtId="0" xfId="0" applyFont="1"/>
    <xf borderId="0" fillId="0" fontId="3" numFmtId="165" xfId="0" applyFont="1" applyNumberFormat="1"/>
    <xf borderId="0" fillId="7" fontId="3" numFmtId="164" xfId="0" applyFont="1" applyNumberFormat="1"/>
    <xf borderId="2" fillId="2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0" fillId="4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5" fillId="0" fontId="7" numFmtId="164" xfId="0" applyAlignment="1" applyBorder="1" applyFont="1" applyNumberFormat="1">
      <alignment horizontal="center" vertical="center"/>
    </xf>
    <xf borderId="5" fillId="7" fontId="7" numFmtId="0" xfId="0" applyAlignment="1" applyBorder="1" applyFont="1">
      <alignment horizontal="center" readingOrder="0" vertical="center"/>
    </xf>
    <xf borderId="5" fillId="10" fontId="7" numFmtId="164" xfId="0" applyAlignment="1" applyBorder="1" applyFill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 readingOrder="0" vertical="center"/>
    </xf>
    <xf borderId="5" fillId="7" fontId="9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 vertical="center"/>
    </xf>
    <xf borderId="1" fillId="11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" fillId="10" fontId="1" numFmtId="164" xfId="0" applyAlignment="1" applyBorder="1" applyFont="1" applyNumberForma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1" fillId="10" fontId="1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10" fontId="4" numFmtId="165" xfId="0" applyAlignment="1" applyBorder="1" applyFont="1" applyNumberFormat="1">
      <alignment horizontal="center" vertical="center"/>
    </xf>
    <xf borderId="7" fillId="0" fontId="8" numFmtId="0" xfId="0" applyBorder="1" applyFont="1"/>
    <xf borderId="0" fillId="8" fontId="4" numFmtId="0" xfId="0" applyAlignment="1" applyFont="1">
      <alignment horizontal="center" vertical="center"/>
    </xf>
    <xf borderId="0" fillId="12" fontId="10" numFmtId="0" xfId="0" applyAlignment="1" applyFill="1" applyFont="1">
      <alignment horizontal="center" readingOrder="0" vertical="center"/>
    </xf>
    <xf borderId="8" fillId="0" fontId="8" numFmtId="0" xfId="0" applyBorder="1" applyFont="1"/>
    <xf borderId="2" fillId="0" fontId="1" numFmtId="0" xfId="0" applyAlignment="1" applyBorder="1" applyFont="1">
      <alignment horizontal="center" readingOrder="0" vertical="center"/>
    </xf>
    <xf borderId="0" fillId="0" fontId="4" numFmtId="0" xfId="0" applyFont="1"/>
    <xf borderId="0" fillId="0" fontId="4" numFmtId="164" xfId="0" applyFont="1" applyNumberFormat="1"/>
    <xf borderId="0" fillId="4" fontId="4" numFmtId="0" xfId="0" applyFont="1"/>
    <xf borderId="0" fillId="4" fontId="4" numFmtId="164" xfId="0" applyFont="1" applyNumberFormat="1"/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4" numFmtId="164" xfId="0" applyAlignment="1" applyFont="1" applyNumberFormat="1">
      <alignment horizontal="center" vertical="center"/>
    </xf>
    <xf borderId="2" fillId="2" fontId="7" numFmtId="164" xfId="0" applyAlignment="1" applyBorder="1" applyFont="1" applyNumberForma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0" fillId="7" fontId="3" numFmtId="0" xfId="0" applyFont="1"/>
    <xf borderId="0" fillId="10" fontId="3" numFmtId="164" xfId="0" applyFont="1" applyNumberFormat="1"/>
    <xf borderId="1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2" fillId="10" fontId="7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2" fillId="7" fontId="9" numFmtId="164" xfId="0" applyAlignment="1" applyBorder="1" applyFont="1" applyNumberFormat="1">
      <alignment horizontal="center" readingOrder="0" vertical="center"/>
    </xf>
    <xf borderId="0" fillId="8" fontId="9" numFmtId="0" xfId="0" applyAlignment="1" applyFont="1">
      <alignment horizontal="center" readingOrder="0" vertical="center"/>
    </xf>
    <xf borderId="0" fillId="8" fontId="9" numFmtId="0" xfId="0" applyAlignment="1" applyFont="1">
      <alignment horizontal="center" vertical="center"/>
    </xf>
    <xf borderId="0" fillId="8" fontId="9" numFmtId="164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horizontal="center" vertical="center"/>
    </xf>
    <xf borderId="2" fillId="13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" fillId="13" fontId="1" numFmtId="0" xfId="0" applyAlignment="1" applyBorder="1" applyFont="1">
      <alignment horizontal="center" readingOrder="0" vertical="center"/>
    </xf>
    <xf borderId="1" fillId="13" fontId="1" numFmtId="164" xfId="0" applyAlignment="1" applyBorder="1" applyFont="1" applyNumberFormat="1">
      <alignment horizontal="center" readingOrder="0" vertical="center"/>
    </xf>
    <xf borderId="8" fillId="13" fontId="7" numFmtId="0" xfId="0" applyAlignment="1" applyBorder="1" applyFont="1">
      <alignment horizontal="center"/>
    </xf>
    <xf borderId="5" fillId="13" fontId="7" numFmtId="0" xfId="0" applyAlignment="1" applyBorder="1" applyFont="1">
      <alignment horizontal="center" readingOrder="0"/>
    </xf>
    <xf borderId="1" fillId="4" fontId="1" numFmtId="164" xfId="0" applyAlignment="1" applyBorder="1" applyFont="1" applyNumberForma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7" fontId="1" numFmtId="164" xfId="0" applyAlignment="1" applyBorder="1" applyFont="1" applyNumberFormat="1">
      <alignment horizontal="center" readingOrder="0" vertical="center"/>
    </xf>
    <xf borderId="8" fillId="8" fontId="7" numFmtId="0" xfId="0" applyAlignment="1" applyBorder="1" applyFont="1">
      <alignment horizontal="center"/>
    </xf>
    <xf borderId="5" fillId="7" fontId="7" numFmtId="164" xfId="0" applyAlignment="1" applyBorder="1" applyFont="1" applyNumberFormat="1">
      <alignment horizontal="center" readingOrder="0"/>
    </xf>
    <xf borderId="1" fillId="14" fontId="4" numFmtId="3" xfId="0" applyAlignment="1" applyBorder="1" applyFill="1" applyFont="1" applyNumberFormat="1">
      <alignment horizontal="center" readingOrder="0" vertical="center"/>
    </xf>
    <xf borderId="1" fillId="14" fontId="4" numFmtId="0" xfId="0" applyAlignment="1" applyBorder="1" applyFont="1">
      <alignment horizontal="center" readingOrder="0" vertical="center"/>
    </xf>
    <xf borderId="1" fillId="7" fontId="1" numFmtId="164" xfId="0" applyBorder="1" applyFont="1" applyNumberFormat="1"/>
    <xf borderId="1" fillId="15" fontId="4" numFmtId="3" xfId="0" applyAlignment="1" applyBorder="1" applyFill="1" applyFont="1" applyNumberFormat="1">
      <alignment horizontal="center" readingOrder="0" vertical="center"/>
    </xf>
    <xf borderId="1" fillId="15" fontId="4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right" readingOrder="0"/>
    </xf>
    <xf borderId="0" fillId="16" fontId="1" numFmtId="165" xfId="0" applyAlignment="1" applyFill="1" applyFont="1" applyNumberFormat="1">
      <alignment horizontal="center"/>
    </xf>
    <xf borderId="0" fillId="4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16" fontId="1" numFmtId="164" xfId="0" applyFont="1" applyNumberFormat="1"/>
    <xf borderId="0" fillId="8" fontId="1" numFmtId="0" xfId="0" applyAlignment="1" applyFont="1">
      <alignment horizontal="center" readingOrder="0" vertical="center"/>
    </xf>
    <xf borderId="0" fillId="4" fontId="1" numFmtId="165" xfId="0" applyAlignment="1" applyFont="1" applyNumberFormat="1">
      <alignment horizontal="center"/>
    </xf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2" fillId="17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/>
    </xf>
    <xf borderId="1" fillId="0" fontId="4" numFmtId="164" xfId="0" applyBorder="1" applyFont="1" applyNumberFormat="1"/>
    <xf borderId="1" fillId="0" fontId="1" numFmtId="0" xfId="0" applyAlignment="1" applyBorder="1" applyFont="1">
      <alignment readingOrder="0"/>
    </xf>
    <xf borderId="1" fillId="2" fontId="1" numFmtId="4" xfId="0" applyAlignment="1" applyBorder="1" applyFont="1" applyNumberFormat="1">
      <alignment horizontal="center" readingOrder="0" vertical="center"/>
    </xf>
    <xf borderId="1" fillId="2" fontId="1" numFmtId="3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0" fillId="2" fontId="3" numFmtId="0" xfId="0" applyAlignment="1" applyFont="1">
      <alignment vertical="center"/>
    </xf>
    <xf borderId="1" fillId="12" fontId="1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3" xfId="0" applyAlignment="1" applyBorder="1" applyFont="1" applyNumberFormat="1">
      <alignment horizontal="right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7" fontId="4" numFmtId="3" xfId="0" applyAlignment="1" applyBorder="1" applyFont="1" applyNumberFormat="1">
      <alignment horizontal="right" vertical="center"/>
    </xf>
    <xf borderId="1" fillId="7" fontId="4" numFmtId="165" xfId="0" applyAlignment="1" applyBorder="1" applyFont="1" applyNumberFormat="1">
      <alignment horizontal="right" readingOrder="0" vertical="center"/>
    </xf>
    <xf borderId="1" fillId="10" fontId="4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1" fillId="18" fontId="4" numFmtId="0" xfId="0" applyAlignment="1" applyBorder="1" applyFill="1" applyFont="1">
      <alignment horizontal="left" readingOrder="0" vertical="center"/>
    </xf>
    <xf borderId="1" fillId="18" fontId="4" numFmtId="3" xfId="0" applyAlignment="1" applyBorder="1" applyFont="1" applyNumberFormat="1">
      <alignment horizontal="right" readingOrder="0" vertical="center"/>
    </xf>
    <xf borderId="1" fillId="18" fontId="4" numFmtId="164" xfId="0" applyAlignment="1" applyBorder="1" applyFont="1" applyNumberFormat="1">
      <alignment horizontal="right" readingOrder="0" vertical="center"/>
    </xf>
    <xf borderId="1" fillId="18" fontId="4" numFmtId="3" xfId="0" applyAlignment="1" applyBorder="1" applyFont="1" applyNumberFormat="1">
      <alignment horizontal="right" vertical="center"/>
    </xf>
    <xf borderId="1" fillId="18" fontId="4" numFmtId="165" xfId="0" applyAlignment="1" applyBorder="1" applyFont="1" applyNumberFormat="1">
      <alignment horizontal="right" readingOrder="0" vertical="center"/>
    </xf>
    <xf borderId="1" fillId="18" fontId="4" numFmtId="0" xfId="0" applyAlignment="1" applyBorder="1" applyFont="1">
      <alignment horizontal="right" vertical="center"/>
    </xf>
    <xf borderId="0" fillId="0" fontId="3" numFmtId="2" xfId="0" applyAlignment="1" applyFont="1" applyNumberFormat="1">
      <alignment vertical="center"/>
    </xf>
    <xf borderId="0" fillId="0" fontId="3" numFmtId="2" xfId="0" applyFont="1" applyNumberFormat="1"/>
    <xf borderId="0" fillId="0" fontId="12" numFmtId="0" xfId="0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vertical="center"/>
    </xf>
    <xf borderId="0" fillId="8" fontId="4" numFmtId="0" xfId="0" applyAlignment="1" applyFont="1">
      <alignment horizontal="left" readingOrder="0" vertical="center"/>
    </xf>
    <xf borderId="0" fillId="8" fontId="4" numFmtId="3" xfId="0" applyAlignment="1" applyFont="1" applyNumberFormat="1">
      <alignment horizontal="right" readingOrder="0" vertical="center"/>
    </xf>
    <xf borderId="0" fillId="8" fontId="4" numFmtId="164" xfId="0" applyAlignment="1" applyFont="1" applyNumberFormat="1">
      <alignment horizontal="right" readingOrder="0" vertical="center"/>
    </xf>
    <xf borderId="0" fillId="8" fontId="4" numFmtId="3" xfId="0" applyAlignment="1" applyFont="1" applyNumberFormat="1">
      <alignment horizontal="right" vertical="center"/>
    </xf>
    <xf borderId="0" fillId="8" fontId="4" numFmtId="165" xfId="0" applyAlignment="1" applyFont="1" applyNumberFormat="1">
      <alignment horizontal="right" readingOrder="0" vertical="center"/>
    </xf>
    <xf borderId="0" fillId="8" fontId="4" numFmtId="0" xfId="0" applyAlignment="1" applyFont="1">
      <alignment horizontal="right" vertical="center"/>
    </xf>
    <xf borderId="1" fillId="19" fontId="13" numFmtId="0" xfId="0" applyAlignment="1" applyBorder="1" applyFill="1" applyFont="1">
      <alignment horizontal="left" readingOrder="0" vertical="center"/>
    </xf>
    <xf borderId="1" fillId="19" fontId="13" numFmtId="3" xfId="0" applyAlignment="1" applyBorder="1" applyFont="1" applyNumberFormat="1">
      <alignment horizontal="right" readingOrder="0" vertical="center"/>
    </xf>
    <xf borderId="1" fillId="19" fontId="13" numFmtId="164" xfId="0" applyAlignment="1" applyBorder="1" applyFont="1" applyNumberFormat="1">
      <alignment horizontal="right" readingOrder="0" vertical="center"/>
    </xf>
    <xf borderId="1" fillId="19" fontId="13" numFmtId="3" xfId="0" applyAlignment="1" applyBorder="1" applyFont="1" applyNumberFormat="1">
      <alignment horizontal="right" vertical="center"/>
    </xf>
    <xf borderId="1" fillId="19" fontId="13" numFmtId="165" xfId="0" applyAlignment="1" applyBorder="1" applyFont="1" applyNumberFormat="1">
      <alignment horizontal="right" readingOrder="0" vertical="center"/>
    </xf>
    <xf borderId="1" fillId="19" fontId="13" numFmtId="0" xfId="0" applyAlignment="1" applyBorder="1" applyFont="1">
      <alignment horizontal="right" vertical="center"/>
    </xf>
    <xf borderId="1" fillId="12" fontId="14" numFmtId="0" xfId="0" applyAlignment="1" applyBorder="1" applyFont="1">
      <alignment horizontal="center" readingOrder="0"/>
    </xf>
    <xf borderId="1" fillId="0" fontId="9" numFmtId="0" xfId="0" applyBorder="1" applyFont="1"/>
    <xf borderId="1" fillId="0" fontId="12" numFmtId="3" xfId="0" applyBorder="1" applyFont="1" applyNumberFormat="1"/>
    <xf borderId="1" fillId="0" fontId="9" numFmtId="3" xfId="0" applyAlignment="1" applyBorder="1" applyFont="1" applyNumberFormat="1">
      <alignment horizontal="right"/>
    </xf>
    <xf borderId="1" fillId="0" fontId="9" numFmtId="164" xfId="0" applyAlignment="1" applyBorder="1" applyFont="1" applyNumberFormat="1">
      <alignment horizontal="right"/>
    </xf>
    <xf borderId="1" fillId="7" fontId="9" numFmtId="3" xfId="0" applyAlignment="1" applyBorder="1" applyFont="1" applyNumberFormat="1">
      <alignment horizontal="right"/>
    </xf>
    <xf borderId="1" fillId="0" fontId="9" numFmtId="164" xfId="0" applyAlignment="1" applyBorder="1" applyFont="1" applyNumberFormat="1">
      <alignment horizontal="right" readingOrder="0"/>
    </xf>
    <xf borderId="1" fillId="7" fontId="9" numFmtId="165" xfId="0" applyAlignment="1" applyBorder="1" applyFont="1" applyNumberFormat="1">
      <alignment horizontal="right"/>
    </xf>
    <xf borderId="1" fillId="10" fontId="9" numFmtId="165" xfId="0" applyAlignment="1" applyBorder="1" applyFont="1" applyNumberFormat="1">
      <alignment horizontal="right"/>
    </xf>
    <xf borderId="1" fillId="10" fontId="4" numFmtId="0" xfId="0" applyAlignment="1" applyBorder="1" applyFont="1">
      <alignment horizontal="right" vertical="center"/>
    </xf>
    <xf borderId="1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4" fillId="0" fontId="9" numFmtId="3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horizontal="right" readingOrder="0" vertical="center"/>
    </xf>
    <xf borderId="4" fillId="7" fontId="9" numFmtId="3" xfId="0" applyAlignment="1" applyBorder="1" applyFont="1" applyNumberFormat="1">
      <alignment horizontal="right" vertical="center"/>
    </xf>
    <xf borderId="4" fillId="0" fontId="9" numFmtId="164" xfId="0" applyAlignment="1" applyBorder="1" applyFont="1" applyNumberFormat="1">
      <alignment horizontal="right" vertical="center"/>
    </xf>
    <xf borderId="4" fillId="7" fontId="9" numFmtId="165" xfId="0" applyAlignment="1" applyBorder="1" applyFont="1" applyNumberFormat="1">
      <alignment horizontal="right" vertical="center"/>
    </xf>
    <xf borderId="4" fillId="10" fontId="9" numFmtId="165" xfId="0" applyAlignment="1" applyBorder="1" applyFont="1" applyNumberFormat="1">
      <alignment horizontal="right" vertical="center"/>
    </xf>
    <xf borderId="1" fillId="7" fontId="4" numFmtId="3" xfId="0" applyAlignment="1" applyBorder="1" applyFont="1" applyNumberFormat="1">
      <alignment horizontal="right" readingOrder="0" vertical="center"/>
    </xf>
    <xf borderId="1" fillId="0" fontId="9" numFmtId="0" xfId="0" applyAlignment="1" applyBorder="1" applyFont="1">
      <alignment readingOrder="0"/>
    </xf>
    <xf borderId="4" fillId="0" fontId="9" numFmtId="0" xfId="0" applyBorder="1" applyFont="1"/>
    <xf borderId="4" fillId="0" fontId="9" numFmtId="3" xfId="0" applyAlignment="1" applyBorder="1" applyFont="1" applyNumberFormat="1">
      <alignment horizontal="right" readingOrder="0"/>
    </xf>
    <xf borderId="4" fillId="0" fontId="9" numFmtId="164" xfId="0" applyAlignment="1" applyBorder="1" applyFont="1" applyNumberFormat="1">
      <alignment horizontal="right" readingOrder="0"/>
    </xf>
    <xf borderId="4" fillId="7" fontId="9" numFmtId="3" xfId="0" applyAlignment="1" applyBorder="1" applyFont="1" applyNumberFormat="1">
      <alignment horizontal="right"/>
    </xf>
    <xf borderId="4" fillId="0" fontId="9" numFmtId="164" xfId="0" applyAlignment="1" applyBorder="1" applyFont="1" applyNumberFormat="1">
      <alignment horizontal="right"/>
    </xf>
    <xf borderId="4" fillId="7" fontId="9" numFmtId="165" xfId="0" applyAlignment="1" applyBorder="1" applyFont="1" applyNumberFormat="1">
      <alignment horizontal="right"/>
    </xf>
    <xf borderId="4" fillId="10" fontId="9" numFmtId="165" xfId="0" applyAlignment="1" applyBorder="1" applyFont="1" applyNumberFormat="1">
      <alignment horizontal="right"/>
    </xf>
    <xf borderId="1" fillId="0" fontId="4" numFmtId="164" xfId="0" applyAlignment="1" applyBorder="1" applyFont="1" applyNumberFormat="1">
      <alignment horizontal="right" readingOrder="0" vertical="center"/>
    </xf>
    <xf borderId="0" fillId="0" fontId="2" numFmtId="4" xfId="0" applyFont="1" applyNumberFormat="1"/>
    <xf borderId="0" fillId="7" fontId="3" numFmtId="3" xfId="0" applyFont="1" applyNumberFormat="1"/>
    <xf borderId="0" fillId="7" fontId="3" numFmtId="165" xfId="0" applyFont="1" applyNumberFormat="1"/>
    <xf borderId="0" fillId="20" fontId="3" numFmtId="0" xfId="0" applyFill="1" applyFont="1"/>
    <xf borderId="0" fillId="4" fontId="3" numFmtId="164" xfId="0" applyFont="1" applyNumberFormat="1"/>
    <xf borderId="0" fillId="4" fontId="3" numFmtId="165" xfId="0" applyFont="1" applyNumberFormat="1"/>
    <xf borderId="4" fillId="6" fontId="1" numFmtId="165" xfId="0" applyAlignment="1" applyBorder="1" applyFont="1" applyNumberFormat="1">
      <alignment horizontal="center" readingOrder="0" vertical="center"/>
    </xf>
    <xf borderId="2" fillId="6" fontId="1" numFmtId="165" xfId="0" applyAlignment="1" applyBorder="1" applyFont="1" applyNumberFormat="1">
      <alignment horizontal="center" readingOrder="0" vertical="center"/>
    </xf>
    <xf borderId="1" fillId="13" fontId="1" numFmtId="165" xfId="0" applyAlignment="1" applyBorder="1" applyFont="1" applyNumberFormat="1">
      <alignment horizontal="center" readingOrder="0" vertical="center"/>
    </xf>
    <xf borderId="1" fillId="13" fontId="15" numFmtId="165" xfId="0" applyAlignment="1" applyBorder="1" applyFont="1" applyNumberFormat="1">
      <alignment horizontal="center" readingOrder="0" vertical="center"/>
    </xf>
    <xf borderId="1" fillId="14" fontId="1" numFmtId="164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1" fillId="21" fontId="1" numFmtId="164" xfId="0" applyAlignment="1" applyBorder="1" applyFill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7" fontId="1" numFmtId="165" xfId="0" applyAlignment="1" applyBorder="1" applyFont="1" applyNumberFormat="1">
      <alignment horizontal="center" readingOrder="0" vertical="center"/>
    </xf>
    <xf borderId="1" fillId="21" fontId="1" numFmtId="165" xfId="0" applyAlignment="1" applyBorder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readingOrder="0" vertical="center"/>
    </xf>
    <xf borderId="8" fillId="8" fontId="7" numFmtId="0" xfId="0" applyAlignment="1" applyBorder="1" applyFont="1">
      <alignment horizontal="center" readingOrder="0"/>
    </xf>
    <xf borderId="0" fillId="4" fontId="1" numFmtId="165" xfId="0" applyAlignment="1" applyFont="1" applyNumberFormat="1">
      <alignment horizontal="right" readingOrder="0" vertical="center"/>
    </xf>
    <xf borderId="1" fillId="0" fontId="3" numFmtId="0" xfId="0" applyAlignment="1" applyBorder="1" applyFont="1">
      <alignment horizontal="center" readingOrder="0" vertical="center"/>
    </xf>
    <xf borderId="1" fillId="21" fontId="1" numFmtId="0" xfId="0" applyAlignment="1" applyBorder="1" applyFont="1">
      <alignment horizontal="center" readingOrder="0" vertical="center"/>
    </xf>
    <xf borderId="1" fillId="5" fontId="1" numFmtId="165" xfId="0" applyAlignment="1" applyBorder="1" applyFont="1" applyNumberFormat="1">
      <alignment horizontal="center" readingOrder="0" vertical="center"/>
    </xf>
    <xf borderId="1" fillId="2" fontId="1" numFmtId="10" xfId="0" applyAlignment="1" applyBorder="1" applyFont="1" applyNumberFormat="1">
      <alignment horizontal="center" readingOrder="0" vertical="center"/>
    </xf>
    <xf borderId="1" fillId="7" fontId="9" numFmtId="165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readingOrder="0"/>
    </xf>
    <xf borderId="9" fillId="12" fontId="16" numFmtId="0" xfId="0" applyAlignment="1" applyBorder="1" applyFont="1">
      <alignment horizontal="center" readingOrder="0" vertical="center"/>
    </xf>
    <xf borderId="10" fillId="0" fontId="8" numFmtId="0" xfId="0" applyBorder="1" applyFont="1"/>
    <xf borderId="4" fillId="0" fontId="9" numFmtId="3" xfId="0" applyAlignment="1" applyBorder="1" applyFont="1" applyNumberFormat="1">
      <alignment horizontal="right"/>
    </xf>
    <xf borderId="4" fillId="14" fontId="9" numFmtId="164" xfId="0" applyAlignment="1" applyBorder="1" applyFont="1" applyNumberFormat="1">
      <alignment horizontal="right"/>
    </xf>
    <xf borderId="4" fillId="7" fontId="9" numFmtId="164" xfId="0" applyAlignment="1" applyBorder="1" applyFont="1" applyNumberFormat="1">
      <alignment horizontal="right"/>
    </xf>
    <xf borderId="4" fillId="5" fontId="9" numFmtId="165" xfId="0" applyAlignment="1" applyBorder="1" applyFont="1" applyNumberFormat="1">
      <alignment horizontal="right"/>
    </xf>
    <xf borderId="4" fillId="8" fontId="9" numFmtId="10" xfId="0" applyAlignment="1" applyBorder="1" applyFont="1" applyNumberFormat="1">
      <alignment horizontal="right"/>
    </xf>
    <xf borderId="1" fillId="7" fontId="9" numFmtId="165" xfId="0" applyAlignment="1" applyBorder="1" applyFont="1" applyNumberFormat="1">
      <alignment horizontal="right" vertical="center"/>
    </xf>
    <xf borderId="0" fillId="8" fontId="9" numFmtId="165" xfId="0" applyAlignment="1" applyFont="1" applyNumberFormat="1">
      <alignment horizontal="right"/>
    </xf>
    <xf borderId="11" fillId="0" fontId="8" numFmtId="0" xfId="0" applyBorder="1" applyFont="1"/>
    <xf borderId="12" fillId="0" fontId="8" numFmtId="0" xfId="0" applyBorder="1" applyFont="1"/>
    <xf borderId="5" fillId="0" fontId="9" numFmtId="3" xfId="0" applyAlignment="1" applyBorder="1" applyFont="1" applyNumberFormat="1">
      <alignment horizontal="right"/>
    </xf>
    <xf borderId="5" fillId="7" fontId="9" numFmtId="3" xfId="0" applyAlignment="1" applyBorder="1" applyFont="1" applyNumberFormat="1">
      <alignment horizontal="right"/>
    </xf>
    <xf borderId="5" fillId="14" fontId="9" numFmtId="164" xfId="0" applyAlignment="1" applyBorder="1" applyFont="1" applyNumberFormat="1">
      <alignment horizontal="right"/>
    </xf>
    <xf borderId="5" fillId="7" fontId="9" numFmtId="164" xfId="0" applyAlignment="1" applyBorder="1" applyFont="1" applyNumberFormat="1">
      <alignment horizontal="right"/>
    </xf>
    <xf borderId="5" fillId="5" fontId="9" numFmtId="165" xfId="0" applyAlignment="1" applyBorder="1" applyFont="1" applyNumberFormat="1">
      <alignment horizontal="right"/>
    </xf>
    <xf borderId="5" fillId="7" fontId="9" numFmtId="165" xfId="0" applyAlignment="1" applyBorder="1" applyFont="1" applyNumberFormat="1">
      <alignment horizontal="right"/>
    </xf>
    <xf borderId="5" fillId="0" fontId="9" numFmtId="164" xfId="0" applyAlignment="1" applyBorder="1" applyFont="1" applyNumberFormat="1">
      <alignment horizontal="right"/>
    </xf>
    <xf borderId="5" fillId="8" fontId="9" numFmtId="10" xfId="0" applyAlignment="1" applyBorder="1" applyFont="1" applyNumberFormat="1">
      <alignment horizontal="right"/>
    </xf>
    <xf borderId="13" fillId="0" fontId="8" numFmtId="0" xfId="0" applyBorder="1" applyFont="1"/>
    <xf borderId="5" fillId="0" fontId="8" numFmtId="0" xfId="0" applyBorder="1" applyFont="1"/>
    <xf borderId="5" fillId="0" fontId="9" numFmtId="3" xfId="0" applyAlignment="1" applyBorder="1" applyFont="1" applyNumberFormat="1">
      <alignment horizontal="right" readingOrder="0"/>
    </xf>
    <xf borderId="5" fillId="0" fontId="9" numFmtId="164" xfId="0" applyAlignment="1" applyBorder="1" applyFont="1" applyNumberFormat="1">
      <alignment horizontal="right" readingOrder="0"/>
    </xf>
    <xf borderId="14" fillId="18" fontId="12" numFmtId="0" xfId="0" applyAlignment="1" applyBorder="1" applyFont="1">
      <alignment vertical="bottom"/>
    </xf>
    <xf borderId="14" fillId="18" fontId="12" numFmtId="3" xfId="0" applyAlignment="1" applyBorder="1" applyFont="1" applyNumberFormat="1">
      <alignment vertical="bottom"/>
    </xf>
    <xf borderId="14" fillId="18" fontId="12" numFmtId="164" xfId="0" applyAlignment="1" applyBorder="1" applyFont="1" applyNumberFormat="1">
      <alignment vertical="bottom"/>
    </xf>
    <xf borderId="14" fillId="18" fontId="12" numFmtId="165" xfId="0" applyAlignment="1" applyBorder="1" applyFont="1" applyNumberFormat="1">
      <alignment vertical="bottom"/>
    </xf>
    <xf borderId="14" fillId="18" fontId="12" numFmtId="10" xfId="0" applyAlignment="1" applyBorder="1" applyFont="1" applyNumberFormat="1">
      <alignment vertical="bottom"/>
    </xf>
    <xf borderId="0" fillId="8" fontId="12" numFmtId="0" xfId="0" applyAlignment="1" applyFont="1">
      <alignment vertical="bottom"/>
    </xf>
    <xf borderId="0" fillId="19" fontId="3" numFmtId="0" xfId="0" applyFont="1"/>
    <xf borderId="0" fillId="8" fontId="3" numFmtId="0" xfId="0" applyFont="1"/>
    <xf borderId="0" fillId="12" fontId="16" numFmtId="0" xfId="0" applyAlignment="1" applyFont="1">
      <alignment horizontal="center" readingOrder="0" vertical="center"/>
    </xf>
    <xf borderId="14" fillId="0" fontId="8" numFmtId="0" xfId="0" applyBorder="1" applyFont="1"/>
    <xf borderId="0" fillId="18" fontId="3" numFmtId="0" xfId="0" applyFont="1"/>
    <xf borderId="0" fillId="18" fontId="3" numFmtId="164" xfId="0" applyFont="1" applyNumberFormat="1"/>
    <xf borderId="0" fillId="18" fontId="3" numFmtId="165" xfId="0" applyFont="1" applyNumberFormat="1"/>
    <xf borderId="9" fillId="12" fontId="17" numFmtId="0" xfId="0" applyAlignment="1" applyBorder="1" applyFont="1">
      <alignment horizontal="center" readingOrder="0" vertical="center"/>
    </xf>
    <xf borderId="1" fillId="14" fontId="4" numFmtId="164" xfId="0" applyAlignment="1" applyBorder="1" applyFont="1" applyNumberFormat="1">
      <alignment horizontal="right" readingOrder="0" vertical="center"/>
    </xf>
    <xf borderId="1" fillId="7" fontId="4" numFmtId="164" xfId="0" applyAlignment="1" applyBorder="1" applyFont="1" applyNumberFormat="1">
      <alignment horizontal="right" readingOrder="0" vertical="center"/>
    </xf>
    <xf borderId="1" fillId="5" fontId="4" numFmtId="165" xfId="0" applyAlignment="1" applyBorder="1" applyFont="1" applyNumberFormat="1">
      <alignment horizontal="right" readingOrder="0" vertical="center"/>
    </xf>
    <xf borderId="1" fillId="4" fontId="4" numFmtId="10" xfId="0" applyAlignment="1" applyBorder="1" applyFont="1" applyNumberFormat="1">
      <alignment horizontal="right" readingOrder="0" vertical="center"/>
    </xf>
    <xf borderId="0" fillId="8" fontId="4" numFmtId="165" xfId="0" applyAlignment="1" applyFont="1" applyNumberFormat="1">
      <alignment horizontal="right" vertical="center"/>
    </xf>
    <xf borderId="0" fillId="19" fontId="3" numFmtId="164" xfId="0" applyFont="1" applyNumberFormat="1"/>
    <xf borderId="0" fillId="19" fontId="3" numFmtId="165" xfId="0" applyFont="1" applyNumberFormat="1"/>
    <xf borderId="1" fillId="0" fontId="4" numFmtId="0" xfId="0" applyAlignment="1" applyBorder="1" applyFont="1">
      <alignment readingOrder="0" vertical="center"/>
    </xf>
    <xf borderId="1" fillId="0" fontId="9" numFmtId="3" xfId="0" applyAlignment="1" applyBorder="1" applyFont="1" applyNumberFormat="1">
      <alignment horizontal="right" readingOrder="0" vertical="center"/>
    </xf>
    <xf borderId="4" fillId="14" fontId="9" numFmtId="164" xfId="0" applyAlignment="1" applyBorder="1" applyFont="1" applyNumberFormat="1">
      <alignment horizontal="right" readingOrder="0" vertical="center"/>
    </xf>
    <xf borderId="4" fillId="7" fontId="9" numFmtId="164" xfId="0" applyAlignment="1" applyBorder="1" applyFont="1" applyNumberFormat="1">
      <alignment horizontal="right" vertical="center"/>
    </xf>
    <xf borderId="4" fillId="5" fontId="9" numFmtId="165" xfId="0" applyAlignment="1" applyBorder="1" applyFont="1" applyNumberFormat="1">
      <alignment horizontal="right" readingOrder="0" vertical="center"/>
    </xf>
    <xf borderId="4" fillId="8" fontId="9" numFmtId="10" xfId="0" applyAlignment="1" applyBorder="1" applyFont="1" applyNumberFormat="1">
      <alignment horizontal="right" vertical="center"/>
    </xf>
    <xf borderId="4" fillId="8" fontId="9" numFmtId="10" xfId="0" applyAlignment="1" applyBorder="1" applyFont="1" applyNumberFormat="1">
      <alignment horizontal="right" readingOrder="0" vertical="center"/>
    </xf>
    <xf borderId="1" fillId="19" fontId="4" numFmtId="0" xfId="0" applyAlignment="1" applyBorder="1" applyFont="1">
      <alignment readingOrder="0" vertical="center"/>
    </xf>
    <xf borderId="1" fillId="19" fontId="9" numFmtId="3" xfId="0" applyAlignment="1" applyBorder="1" applyFont="1" applyNumberFormat="1">
      <alignment horizontal="right" readingOrder="0" vertical="center"/>
    </xf>
    <xf borderId="4" fillId="19" fontId="9" numFmtId="3" xfId="0" applyAlignment="1" applyBorder="1" applyFont="1" applyNumberFormat="1">
      <alignment horizontal="right" readingOrder="0" vertical="center"/>
    </xf>
    <xf borderId="4" fillId="19" fontId="9" numFmtId="3" xfId="0" applyAlignment="1" applyBorder="1" applyFont="1" applyNumberFormat="1">
      <alignment horizontal="right" vertical="center"/>
    </xf>
    <xf borderId="4" fillId="19" fontId="9" numFmtId="164" xfId="0" applyAlignment="1" applyBorder="1" applyFont="1" applyNumberFormat="1">
      <alignment horizontal="right" readingOrder="0" vertical="center"/>
    </xf>
    <xf borderId="4" fillId="19" fontId="9" numFmtId="164" xfId="0" applyAlignment="1" applyBorder="1" applyFont="1" applyNumberFormat="1">
      <alignment horizontal="right" vertical="center"/>
    </xf>
    <xf borderId="4" fillId="19" fontId="9" numFmtId="165" xfId="0" applyAlignment="1" applyBorder="1" applyFont="1" applyNumberFormat="1">
      <alignment horizontal="right" readingOrder="0" vertical="center"/>
    </xf>
    <xf borderId="4" fillId="19" fontId="9" numFmtId="165" xfId="0" applyAlignment="1" applyBorder="1" applyFont="1" applyNumberFormat="1">
      <alignment horizontal="right" vertical="center"/>
    </xf>
    <xf borderId="4" fillId="19" fontId="9" numFmtId="10" xfId="0" applyAlignment="1" applyBorder="1" applyFont="1" applyNumberFormat="1">
      <alignment horizontal="right" readingOrder="0" vertical="center"/>
    </xf>
    <xf borderId="4" fillId="19" fontId="14" numFmtId="164" xfId="0" applyAlignment="1" applyBorder="1" applyFont="1" applyNumberFormat="1">
      <alignment horizontal="right" readingOrder="0" vertical="center"/>
    </xf>
    <xf borderId="1" fillId="19" fontId="9" numFmtId="165" xfId="0" applyAlignment="1" applyBorder="1" applyFont="1" applyNumberFormat="1">
      <alignment horizontal="right" vertical="center"/>
    </xf>
    <xf borderId="0" fillId="0" fontId="12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1" fillId="19" fontId="12" numFmtId="0" xfId="0" applyBorder="1" applyFont="1"/>
    <xf borderId="1" fillId="19" fontId="9" numFmtId="3" xfId="0" applyAlignment="1" applyBorder="1" applyFont="1" applyNumberFormat="1">
      <alignment horizontal="right"/>
    </xf>
    <xf borderId="4" fillId="19" fontId="9" numFmtId="3" xfId="0" applyAlignment="1" applyBorder="1" applyFont="1" applyNumberFormat="1">
      <alignment horizontal="right"/>
    </xf>
    <xf borderId="4" fillId="19" fontId="9" numFmtId="164" xfId="0" applyAlignment="1" applyBorder="1" applyFont="1" applyNumberFormat="1">
      <alignment horizontal="right"/>
    </xf>
    <xf borderId="4" fillId="19" fontId="9" numFmtId="165" xfId="0" applyAlignment="1" applyBorder="1" applyFont="1" applyNumberFormat="1">
      <alignment horizontal="right"/>
    </xf>
    <xf borderId="4" fillId="19" fontId="9" numFmtId="10" xfId="0" applyAlignment="1" applyBorder="1" applyFont="1" applyNumberFormat="1">
      <alignment horizontal="right"/>
    </xf>
    <xf borderId="0" fillId="19" fontId="12" numFmtId="0" xfId="0" applyAlignment="1" applyFont="1">
      <alignment vertical="bottom"/>
    </xf>
    <xf borderId="1" fillId="0" fontId="9" numFmtId="3" xfId="0" applyAlignment="1" applyBorder="1" applyFont="1" applyNumberFormat="1">
      <alignment horizontal="right" readingOrder="0"/>
    </xf>
    <xf borderId="4" fillId="8" fontId="9" numFmtId="10" xfId="0" applyAlignment="1" applyBorder="1" applyFont="1" applyNumberFormat="1">
      <alignment horizontal="right" readingOrder="0"/>
    </xf>
    <xf borderId="4" fillId="5" fontId="9" numFmtId="165" xfId="0" applyAlignment="1" applyBorder="1" applyFont="1" applyNumberFormat="1">
      <alignment horizontal="right" readingOrder="0"/>
    </xf>
    <xf borderId="4" fillId="14" fontId="9" numFmtId="164" xfId="0" applyAlignment="1" applyBorder="1" applyFont="1" applyNumberFormat="1">
      <alignment horizontal="right" readingOrder="0"/>
    </xf>
    <xf borderId="5" fillId="5" fontId="9" numFmtId="165" xfId="0" applyAlignment="1" applyBorder="1" applyFont="1" applyNumberFormat="1">
      <alignment horizontal="right" readingOrder="0"/>
    </xf>
    <xf borderId="5" fillId="8" fontId="9" numFmtId="10" xfId="0" applyAlignment="1" applyBorder="1" applyFont="1" applyNumberFormat="1">
      <alignment horizontal="right" readingOrder="0"/>
    </xf>
    <xf borderId="5" fillId="14" fontId="9" numFmtId="164" xfId="0" applyAlignment="1" applyBorder="1" applyFont="1" applyNumberFormat="1">
      <alignment horizontal="right" readingOrder="0"/>
    </xf>
    <xf borderId="4" fillId="7" fontId="9" numFmtId="3" xfId="0" applyAlignment="1" applyBorder="1" applyFont="1" applyNumberFormat="1">
      <alignment horizontal="right" readingOrder="0" vertical="center"/>
    </xf>
    <xf borderId="0" fillId="14" fontId="3" numFmtId="164" xfId="0" applyFont="1" applyNumberFormat="1"/>
    <xf borderId="0" fillId="5" fontId="3" numFmtId="165" xfId="0" applyFont="1" applyNumberFormat="1"/>
    <xf borderId="2" fillId="6" fontId="4" numFmtId="0" xfId="0" applyAlignment="1" applyBorder="1" applyFont="1">
      <alignment horizontal="center" readingOrder="0" vertical="center"/>
    </xf>
    <xf borderId="0" fillId="4" fontId="1" numFmtId="165" xfId="0" applyAlignment="1" applyFont="1" applyNumberFormat="1">
      <alignment horizontal="center" vertical="center"/>
    </xf>
    <xf borderId="1" fillId="13" fontId="1" numFmtId="9" xfId="0" applyAlignment="1" applyBorder="1" applyFont="1" applyNumberFormat="1">
      <alignment horizontal="center" readingOrder="0" vertical="center"/>
    </xf>
    <xf borderId="1" fillId="22" fontId="1" numFmtId="0" xfId="0" applyAlignment="1" applyBorder="1" applyFill="1" applyFont="1">
      <alignment horizontal="center" readingOrder="0" vertical="center"/>
    </xf>
    <xf borderId="1" fillId="4" fontId="1" numFmtId="9" xfId="0" applyAlignment="1" applyBorder="1" applyFont="1" applyNumberFormat="1">
      <alignment horizontal="center" readingOrder="0" vertical="center"/>
    </xf>
    <xf borderId="1" fillId="15" fontId="1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right" readingOrder="0" vertical="center"/>
    </xf>
    <xf borderId="0" fillId="20" fontId="18" numFmtId="0" xfId="0" applyAlignment="1" applyFont="1">
      <alignment horizontal="center" readingOrder="0" vertical="center"/>
    </xf>
    <xf borderId="1" fillId="23" fontId="1" numFmtId="0" xfId="0" applyAlignment="1" applyBorder="1" applyFill="1" applyFont="1">
      <alignment horizontal="center" readingOrder="0" vertical="center"/>
    </xf>
    <xf borderId="1" fillId="24" fontId="1" numFmtId="0" xfId="0" applyAlignment="1" applyBorder="1" applyFill="1" applyFont="1">
      <alignment horizontal="center" readingOrder="0" vertical="center"/>
    </xf>
    <xf borderId="0" fillId="16" fontId="1" numFmtId="164" xfId="0" applyAlignment="1" applyFont="1" applyNumberFormat="1">
      <alignment horizontal="right" readingOrder="0" vertical="center"/>
    </xf>
    <xf borderId="0" fillId="0" fontId="1" numFmtId="9" xfId="0" applyAlignment="1" applyFont="1" applyNumberFormat="1">
      <alignment horizontal="center" vertical="center"/>
    </xf>
    <xf borderId="0" fillId="16" fontId="1" numFmtId="164" xfId="0" applyAlignment="1" applyFont="1" applyNumberFormat="1">
      <alignment vertical="center"/>
    </xf>
    <xf borderId="2" fillId="25" fontId="19" numFmtId="0" xfId="0" applyAlignment="1" applyBorder="1" applyFill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1" fillId="22" fontId="2" numFmtId="0" xfId="0" applyAlignment="1" applyBorder="1" applyFont="1">
      <alignment horizontal="center" readingOrder="0" vertical="center"/>
    </xf>
    <xf borderId="2" fillId="22" fontId="20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readingOrder="0"/>
    </xf>
    <xf borderId="1" fillId="15" fontId="2" numFmtId="0" xfId="0" applyAlignment="1" applyBorder="1" applyFont="1">
      <alignment horizontal="center" readingOrder="0" vertical="center"/>
    </xf>
    <xf borderId="2" fillId="15" fontId="2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/>
    </xf>
    <xf borderId="1" fillId="0" fontId="4" numFmtId="164" xfId="0" applyAlignment="1" applyBorder="1" applyFont="1" applyNumberFormat="1">
      <alignment horizontal="center" vertical="center"/>
    </xf>
    <xf borderId="1" fillId="23" fontId="2" numFmtId="0" xfId="0" applyAlignment="1" applyBorder="1" applyFont="1">
      <alignment horizontal="center" readingOrder="0" vertical="center"/>
    </xf>
    <xf borderId="2" fillId="23" fontId="20" numFmtId="0" xfId="0" applyAlignment="1" applyBorder="1" applyFont="1">
      <alignment horizontal="center" readingOrder="0" vertical="center"/>
    </xf>
    <xf borderId="1" fillId="4" fontId="4" numFmtId="165" xfId="0" applyAlignment="1" applyBorder="1" applyFont="1" applyNumberFormat="1">
      <alignment horizontal="left" readingOrder="0" vertical="center"/>
    </xf>
    <xf borderId="1" fillId="7" fontId="4" numFmtId="3" xfId="0" applyAlignment="1" applyBorder="1" applyFont="1" applyNumberFormat="1">
      <alignment horizontal="center" readingOrder="0" vertical="center"/>
    </xf>
    <xf borderId="1" fillId="10" fontId="4" numFmtId="164" xfId="0" applyAlignment="1" applyBorder="1" applyFont="1" applyNumberFormat="1">
      <alignment horizontal="center" vertical="center"/>
    </xf>
    <xf borderId="0" fillId="0" fontId="3" numFmtId="9" xfId="0" applyFont="1" applyNumberFormat="1"/>
    <xf borderId="2" fillId="13" fontId="15" numFmtId="0" xfId="0" applyAlignment="1" applyBorder="1" applyFont="1">
      <alignment horizontal="center" readingOrder="0" vertical="center"/>
    </xf>
    <xf borderId="0" fillId="26" fontId="4" numFmtId="165" xfId="0" applyAlignment="1" applyFill="1" applyFont="1" applyNumberFormat="1">
      <alignment horizontal="center" readingOrder="0" vertical="center"/>
    </xf>
    <xf borderId="1" fillId="13" fontId="1" numFmtId="0" xfId="0" applyAlignment="1" applyBorder="1" applyFont="1">
      <alignment readingOrder="0" vertical="center"/>
    </xf>
    <xf borderId="1" fillId="13" fontId="1" numFmtId="4" xfId="0" applyAlignment="1" applyBorder="1" applyFont="1" applyNumberFormat="1">
      <alignment horizontal="center" readingOrder="0" vertical="center"/>
    </xf>
    <xf borderId="1" fillId="7" fontId="1" numFmtId="3" xfId="0" applyAlignment="1" applyBorder="1" applyFont="1" applyNumberFormat="1">
      <alignment horizontal="center" readingOrder="0" vertical="center"/>
    </xf>
    <xf borderId="1" fillId="13" fontId="1" numFmtId="3" xfId="0" applyAlignment="1" applyBorder="1" applyFont="1" applyNumberFormat="1">
      <alignment horizontal="center" readingOrder="0" vertical="center"/>
    </xf>
    <xf borderId="1" fillId="20" fontId="1" numFmtId="165" xfId="0" applyAlignment="1" applyBorder="1" applyFont="1" applyNumberFormat="1">
      <alignment horizontal="center" readingOrder="0" vertical="center"/>
    </xf>
    <xf borderId="0" fillId="13" fontId="3" numFmtId="0" xfId="0" applyAlignment="1" applyFont="1">
      <alignment vertical="center"/>
    </xf>
    <xf borderId="1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right" vertical="center"/>
    </xf>
    <xf borderId="4" fillId="7" fontId="9" numFmtId="0" xfId="0" applyAlignment="1" applyBorder="1" applyFont="1">
      <alignment horizontal="right" vertical="center"/>
    </xf>
    <xf borderId="4" fillId="21" fontId="9" numFmtId="165" xfId="0" applyAlignment="1" applyBorder="1" applyFont="1" applyNumberFormat="1">
      <alignment horizontal="right" readingOrder="0" vertical="center"/>
    </xf>
    <xf borderId="4" fillId="8" fontId="9" numFmtId="164" xfId="0" applyAlignment="1" applyBorder="1" applyFont="1" applyNumberFormat="1">
      <alignment horizontal="right" readingOrder="0" vertical="center"/>
    </xf>
    <xf borderId="4" fillId="8" fontId="9" numFmtId="164" xfId="0" applyAlignment="1" applyBorder="1" applyFont="1" applyNumberFormat="1">
      <alignment horizontal="right" vertical="center"/>
    </xf>
    <xf borderId="4" fillId="20" fontId="9" numFmtId="165" xfId="0" applyAlignment="1" applyBorder="1" applyFont="1" applyNumberFormat="1">
      <alignment horizontal="right" vertical="center"/>
    </xf>
    <xf borderId="4" fillId="0" fontId="9" numFmtId="9" xfId="0" applyAlignment="1" applyBorder="1" applyFont="1" applyNumberFormat="1">
      <alignment horizontal="right" readingOrder="0" vertical="center"/>
    </xf>
    <xf borderId="0" fillId="27" fontId="21" numFmtId="165" xfId="0" applyAlignment="1" applyFill="1" applyFont="1" applyNumberFormat="1">
      <alignment horizontal="left" readingOrder="0" vertical="center"/>
    </xf>
    <xf borderId="4" fillId="0" fontId="9" numFmtId="0" xfId="0" applyAlignment="1" applyBorder="1" applyFont="1">
      <alignment horizontal="right" readingOrder="0" vertical="center"/>
    </xf>
    <xf borderId="0" fillId="27" fontId="21" numFmtId="165" xfId="0" applyAlignment="1" applyFont="1" applyNumberFormat="1">
      <alignment horizontal="left" vertical="center"/>
    </xf>
    <xf borderId="0" fillId="28" fontId="3" numFmtId="0" xfId="0" applyFill="1" applyFont="1"/>
    <xf borderId="0" fillId="28" fontId="2" numFmtId="4" xfId="0" applyFont="1" applyNumberFormat="1"/>
    <xf borderId="0" fillId="28" fontId="3" numFmtId="164" xfId="0" applyFont="1" applyNumberFormat="1"/>
    <xf borderId="0" fillId="28" fontId="3" numFmtId="3" xfId="0" applyFont="1" applyNumberFormat="1"/>
    <xf borderId="0" fillId="28" fontId="3" numFmtId="165" xfId="0" applyFont="1" applyNumberFormat="1"/>
    <xf borderId="0" fillId="28" fontId="3" numFmtId="9" xfId="0" applyFont="1" applyNumberFormat="1"/>
    <xf borderId="0" fillId="28" fontId="22" numFmtId="0" xfId="0" applyFont="1"/>
    <xf borderId="0" fillId="28" fontId="23" numFmtId="4" xfId="0" applyFont="1" applyNumberFormat="1"/>
    <xf borderId="0" fillId="28" fontId="22" numFmtId="164" xfId="0" applyFont="1" applyNumberFormat="1"/>
    <xf borderId="0" fillId="28" fontId="22" numFmtId="3" xfId="0" applyFont="1" applyNumberFormat="1"/>
    <xf borderId="0" fillId="28" fontId="22" numFmtId="165" xfId="0" applyFont="1" applyNumberFormat="1"/>
    <xf borderId="0" fillId="28" fontId="22" numFmtId="9" xfId="0" applyFont="1" applyNumberFormat="1"/>
    <xf borderId="4" fillId="21" fontId="9" numFmtId="164" xfId="0" applyAlignment="1" applyBorder="1" applyFont="1" applyNumberFormat="1">
      <alignment horizontal="right" readingOrder="0" vertical="center"/>
    </xf>
    <xf borderId="4" fillId="7" fontId="9" numFmtId="164" xfId="0" applyAlignment="1" applyBorder="1" applyFont="1" applyNumberFormat="1">
      <alignment horizontal="right" readingOrder="0" vertical="center"/>
    </xf>
    <xf borderId="4" fillId="10" fontId="9" numFmtId="165" xfId="0" applyAlignment="1" applyBorder="1" applyFont="1" applyNumberFormat="1">
      <alignment horizontal="right" readingOrder="0" vertical="center"/>
    </xf>
    <xf borderId="0" fillId="0" fontId="3" numFmtId="3" xfId="0" applyFont="1" applyNumberFormat="1"/>
    <xf borderId="0" fillId="20" fontId="3" numFmtId="165" xfId="0" applyFont="1" applyNumberFormat="1"/>
    <xf borderId="0" fillId="10" fontId="3" numFmtId="0" xfId="0" applyFont="1"/>
    <xf borderId="1" fillId="16" fontId="1" numFmtId="10" xfId="0" applyAlignment="1" applyBorder="1" applyFont="1" applyNumberFormat="1">
      <alignment horizontal="center" readingOrder="0" vertical="center"/>
    </xf>
    <xf borderId="1" fillId="6" fontId="4" numFmtId="164" xfId="0" applyAlignment="1" applyBorder="1" applyFont="1" applyNumberFormat="1">
      <alignment horizontal="center" vertical="center"/>
    </xf>
    <xf borderId="1" fillId="16" fontId="4" numFmtId="10" xfId="0" applyAlignment="1" applyBorder="1" applyFont="1" applyNumberFormat="1">
      <alignment horizontal="center" readingOrder="0" vertical="center"/>
    </xf>
    <xf borderId="1" fillId="7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164" xfId="0" applyAlignment="1" applyBorder="1" applyFont="1" applyNumberFormat="1">
      <alignment horizontal="center" vertical="center"/>
    </xf>
    <xf borderId="4" fillId="16" fontId="9" numFmtId="10" xfId="0" applyAlignment="1" applyBorder="1" applyFont="1" applyNumberFormat="1">
      <alignment horizontal="center" vertical="center"/>
    </xf>
    <xf borderId="4" fillId="7" fontId="9" numFmtId="164" xfId="0" applyAlignment="1" applyBorder="1" applyFont="1" applyNumberFormat="1">
      <alignment horizontal="center" vertical="center"/>
    </xf>
    <xf borderId="0" fillId="8" fontId="24" numFmtId="0" xfId="0" applyAlignment="1" applyFont="1">
      <alignment readingOrder="0"/>
    </xf>
    <xf borderId="4" fillId="0" fontId="9" numFmtId="0" xfId="0" applyAlignment="1" applyBorder="1" applyFont="1">
      <alignment horizontal="center" readingOrder="0"/>
    </xf>
    <xf borderId="0" fillId="0" fontId="3" numFmtId="167" xfId="0" applyAlignment="1" applyFont="1" applyNumberFormat="1">
      <alignment readingOrder="0"/>
    </xf>
    <xf borderId="4" fillId="16" fontId="9" numFmtId="10" xfId="0" applyAlignment="1" applyBorder="1" applyFont="1" applyNumberFormat="1">
      <alignment horizontal="center" readingOrder="0"/>
    </xf>
    <xf borderId="4" fillId="16" fontId="9" numFmtId="10" xfId="0" applyAlignment="1" applyBorder="1" applyFont="1" applyNumberFormat="1">
      <alignment horizontal="center"/>
    </xf>
    <xf borderId="4" fillId="7" fontId="9" numFmtId="164" xfId="0" applyAlignment="1" applyBorder="1" applyFont="1" applyNumberFormat="1">
      <alignment horizontal="center"/>
    </xf>
    <xf borderId="4" fillId="0" fontId="12" numFmtId="0" xfId="0" applyBorder="1" applyFont="1"/>
    <xf borderId="4" fillId="0" fontId="12" numFmtId="164" xfId="0" applyBorder="1" applyFont="1" applyNumberFormat="1"/>
    <xf borderId="4" fillId="0" fontId="9" numFmtId="0" xfId="0" applyAlignment="1" applyBorder="1" applyFont="1">
      <alignment horizontal="center"/>
    </xf>
    <xf borderId="1" fillId="0" fontId="12" numFmtId="0" xfId="0" applyBorder="1" applyFont="1"/>
    <xf borderId="0" fillId="16" fontId="3" numFmtId="10" xfId="0" applyFont="1" applyNumberFormat="1"/>
    <xf borderId="0" fillId="6" fontId="1" numFmtId="0" xfId="0" applyAlignment="1" applyFont="1">
      <alignment horizontal="center" readingOrder="0" vertical="center"/>
    </xf>
    <xf borderId="2" fillId="6" fontId="7" numFmtId="0" xfId="0" applyAlignment="1" applyBorder="1" applyFont="1">
      <alignment horizontal="center" vertical="center"/>
    </xf>
    <xf borderId="8" fillId="13" fontId="7" numFmtId="0" xfId="0" applyAlignment="1" applyBorder="1" applyFont="1">
      <alignment horizontal="center" vertical="center"/>
    </xf>
    <xf borderId="14" fillId="13" fontId="7" numFmtId="0" xfId="0" applyAlignment="1" applyBorder="1" applyFont="1">
      <alignment horizontal="center" vertical="center"/>
    </xf>
    <xf borderId="14" fillId="13" fontId="7" numFmtId="0" xfId="0" applyAlignment="1" applyBorder="1" applyFont="1">
      <alignment horizontal="center" readingOrder="0" vertical="center"/>
    </xf>
    <xf borderId="7" fillId="8" fontId="7" numFmtId="0" xfId="0" applyAlignment="1" applyBorder="1" applyFont="1">
      <alignment horizontal="center" readingOrder="0" vertical="center"/>
    </xf>
    <xf borderId="5" fillId="8" fontId="7" numFmtId="0" xfId="0" applyAlignment="1" applyBorder="1" applyFont="1">
      <alignment horizontal="center" vertical="center"/>
    </xf>
    <xf borderId="5" fillId="21" fontId="7" numFmtId="164" xfId="0" applyAlignment="1" applyBorder="1" applyFont="1" applyNumberFormat="1">
      <alignment horizontal="center" readingOrder="0" vertical="center"/>
    </xf>
    <xf borderId="1" fillId="10" fontId="7" numFmtId="0" xfId="0" applyAlignment="1" applyBorder="1" applyFon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" fillId="5" fontId="4" numFmtId="164" xfId="0" applyAlignment="1" applyBorder="1" applyFont="1" applyNumberFormat="1">
      <alignment horizontal="right" readingOrder="0" vertical="center"/>
    </xf>
    <xf borderId="1" fillId="4" fontId="4" numFmtId="164" xfId="0" applyAlignment="1" applyBorder="1" applyFont="1" applyNumberFormat="1">
      <alignment horizontal="right" readingOrder="0" vertical="center"/>
    </xf>
    <xf borderId="0" fillId="0" fontId="3" numFmtId="168" xfId="0" applyAlignment="1" applyFont="1" applyNumberFormat="1">
      <alignment readingOrder="0"/>
    </xf>
    <xf borderId="1" fillId="7" fontId="4" numFmtId="165" xfId="0" applyAlignment="1" applyBorder="1" applyFont="1" applyNumberFormat="1">
      <alignment horizontal="right" vertical="center"/>
    </xf>
    <xf borderId="1" fillId="4" fontId="4" numFmtId="165" xfId="0" applyAlignment="1" applyBorder="1" applyFont="1" applyNumberFormat="1">
      <alignment horizontal="right" readingOrder="0" vertical="center"/>
    </xf>
    <xf borderId="0" fillId="5" fontId="3" numFmtId="0" xfId="0" applyFont="1"/>
    <xf borderId="0" fillId="14" fontId="3" numFmtId="0" xfId="0" applyAlignment="1" applyFont="1">
      <alignment horizontal="center" readingOrder="0" vertical="center"/>
    </xf>
    <xf borderId="1" fillId="14" fontId="3" numFmtId="0" xfId="0" applyAlignment="1" applyBorder="1" applyFont="1">
      <alignment horizontal="center" readingOrder="0" vertical="center"/>
    </xf>
    <xf borderId="1" fillId="14" fontId="3" numFmtId="164" xfId="0" applyAlignment="1" applyBorder="1" applyFont="1" applyNumberFormat="1">
      <alignment horizontal="center" readingOrder="0" vertical="center"/>
    </xf>
    <xf borderId="2" fillId="15" fontId="3" numFmtId="0" xfId="0" applyAlignment="1" applyBorder="1" applyFont="1">
      <alignment horizontal="center" readingOrder="0" vertical="center"/>
    </xf>
    <xf borderId="2" fillId="29" fontId="3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2" fillId="30" fontId="25" numFmtId="0" xfId="0" applyAlignment="1" applyBorder="1" applyFill="1" applyFont="1">
      <alignment horizontal="center" readingOrder="0" vertical="center"/>
    </xf>
    <xf borderId="1" fillId="3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2" fillId="20" fontId="3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readingOrder="0"/>
    </xf>
    <xf borderId="1" fillId="22" fontId="3" numFmtId="0" xfId="0" applyAlignment="1" applyBorder="1" applyFont="1">
      <alignment readingOrder="0" vertical="center"/>
    </xf>
    <xf borderId="1" fillId="8" fontId="3" numFmtId="0" xfId="0" applyAlignment="1" applyBorder="1" applyFont="1">
      <alignment vertical="center"/>
    </xf>
    <xf borderId="1" fillId="8" fontId="3" numFmtId="164" xfId="0" applyAlignment="1" applyBorder="1" applyFont="1" applyNumberFormat="1">
      <alignment vertical="center"/>
    </xf>
    <xf borderId="2" fillId="20" fontId="3" numFmtId="0" xfId="0" applyAlignment="1" applyBorder="1" applyFont="1">
      <alignment readingOrder="0"/>
    </xf>
    <xf borderId="1" fillId="0" fontId="3" numFmtId="0" xfId="0" applyBorder="1" applyFont="1"/>
    <xf borderId="1" fillId="8" fontId="3" numFmtId="0" xfId="0" applyAlignment="1" applyBorder="1" applyFont="1">
      <alignment readingOrder="0" vertical="center"/>
    </xf>
    <xf borderId="1" fillId="24" fontId="1" numFmtId="164" xfId="0" applyAlignment="1" applyBorder="1" applyFont="1" applyNumberFormat="1">
      <alignment horizontal="center" readingOrder="0" vertical="center"/>
    </xf>
    <xf borderId="1" fillId="14" fontId="4" numFmtId="165" xfId="0" applyAlignment="1" applyBorder="1" applyFont="1" applyNumberFormat="1">
      <alignment horizontal="center" readingOrder="0" vertical="center"/>
    </xf>
    <xf borderId="1" fillId="24" fontId="4" numFmtId="165" xfId="0" applyAlignment="1" applyBorder="1" applyFont="1" applyNumberFormat="1">
      <alignment horizontal="center" readingOrder="0" vertical="center"/>
    </xf>
    <xf borderId="1" fillId="6" fontId="4" numFmtId="165" xfId="0" applyAlignment="1" applyBorder="1" applyFont="1" applyNumberFormat="1">
      <alignment horizontal="center" readingOrder="0" vertical="center"/>
    </xf>
    <xf borderId="1" fillId="7" fontId="4" numFmtId="165" xfId="0" applyAlignment="1" applyBorder="1" applyFont="1" applyNumberFormat="1">
      <alignment horizontal="center" vertical="center"/>
    </xf>
    <xf borderId="1" fillId="14" fontId="4" numFmtId="164" xfId="0" applyAlignment="1" applyBorder="1" applyFont="1" applyNumberFormat="1">
      <alignment horizontal="center" readingOrder="0" vertical="center"/>
    </xf>
    <xf borderId="1" fillId="6" fontId="4" numFmtId="164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26" numFmtId="169" xfId="0" applyAlignment="1" applyBorder="1" applyFont="1" applyNumberFormat="1">
      <alignment horizontal="center"/>
    </xf>
    <xf borderId="2" fillId="12" fontId="10" numFmtId="0" xfId="0" applyAlignment="1" applyBorder="1" applyFont="1">
      <alignment horizontal="center" readingOrder="0" vertical="center"/>
    </xf>
    <xf borderId="6" fillId="13" fontId="1" numFmtId="165" xfId="0" applyAlignment="1" applyBorder="1" applyFont="1" applyNumberFormat="1">
      <alignment horizontal="center" readingOrder="0" vertical="center"/>
    </xf>
    <xf borderId="1" fillId="31" fontId="10" numFmtId="0" xfId="0" applyAlignment="1" applyBorder="1" applyFill="1" applyFont="1">
      <alignment horizontal="left" readingOrder="0" vertical="center"/>
    </xf>
    <xf borderId="1" fillId="31" fontId="10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1" fillId="7" fontId="1" numFmtId="164" xfId="0" applyAlignment="1" applyBorder="1" applyFont="1" applyNumberFormat="1">
      <alignment horizontal="center" readingOrder="0" vertical="center"/>
    </xf>
    <xf borderId="1" fillId="14" fontId="1" numFmtId="164" xfId="0" applyBorder="1" applyFont="1" applyNumberFormat="1"/>
    <xf borderId="1" fillId="20" fontId="1" numFmtId="0" xfId="0" applyAlignment="1" applyBorder="1" applyFont="1">
      <alignment horizontal="center" readingOrder="0" vertical="center"/>
    </xf>
    <xf borderId="1" fillId="10" fontId="1" numFmtId="3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0" fillId="12" fontId="10" numFmtId="165" xfId="0" applyAlignment="1" applyFont="1" applyNumberFormat="1">
      <alignment horizontal="center" readingOrder="0" vertical="center"/>
    </xf>
    <xf borderId="1" fillId="2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readingOrder="0" vertical="center"/>
    </xf>
    <xf borderId="0" fillId="19" fontId="10" numFmtId="3" xfId="0" applyAlignment="1" applyFont="1" applyNumberFormat="1">
      <alignment horizontal="center" readingOrder="0" vertical="center"/>
    </xf>
    <xf borderId="0" fillId="32" fontId="10" numFmtId="3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readingOrder="0" vertical="center"/>
    </xf>
    <xf borderId="1" fillId="20" fontId="27" numFmtId="164" xfId="0" applyAlignment="1" applyBorder="1" applyFont="1" applyNumberFormat="1">
      <alignment horizontal="center" readingOrder="0" vertical="center"/>
    </xf>
    <xf borderId="1" fillId="10" fontId="27" numFmtId="164" xfId="0" applyAlignment="1" applyBorder="1" applyFont="1" applyNumberFormat="1">
      <alignment horizontal="center" readingOrder="0" vertical="center"/>
    </xf>
    <xf borderId="1" fillId="2" fontId="27" numFmtId="165" xfId="0" applyAlignment="1" applyBorder="1" applyFont="1" applyNumberFormat="1">
      <alignment horizontal="center" readingOrder="0" vertical="center"/>
    </xf>
    <xf borderId="1" fillId="10" fontId="27" numFmtId="165" xfId="0" applyAlignment="1" applyBorder="1" applyFont="1" applyNumberFormat="1">
      <alignment horizontal="center" readingOrder="0" vertical="center"/>
    </xf>
    <xf borderId="1" fillId="8" fontId="4" numFmtId="3" xfId="0" applyAlignment="1" applyBorder="1" applyFont="1" applyNumberFormat="1">
      <alignment horizontal="left" readingOrder="0" vertical="center"/>
    </xf>
    <xf borderId="1" fillId="8" fontId="4" numFmtId="3" xfId="0" applyAlignment="1" applyBorder="1" applyFont="1" applyNumberFormat="1">
      <alignment horizontal="center" readingOrder="0" vertical="center"/>
    </xf>
    <xf borderId="1" fillId="21" fontId="4" numFmtId="164" xfId="0" applyAlignment="1" applyBorder="1" applyFont="1" applyNumberFormat="1">
      <alignment horizontal="center" readingOrder="0" vertical="center"/>
    </xf>
    <xf borderId="1" fillId="16" fontId="4" numFmtId="9" xfId="0" applyAlignment="1" applyBorder="1" applyFont="1" applyNumberFormat="1">
      <alignment horizontal="center" readingOrder="0" vertical="center"/>
    </xf>
    <xf borderId="1" fillId="16" fontId="1" numFmtId="165" xfId="0" applyAlignment="1" applyBorder="1" applyFont="1" applyNumberFormat="1">
      <alignment horizontal="center" readingOrder="0" vertical="center"/>
    </xf>
    <xf borderId="0" fillId="33" fontId="28" numFmtId="0" xfId="0" applyAlignment="1" applyFill="1" applyFont="1">
      <alignment horizontal="center" readingOrder="0" vertical="center"/>
    </xf>
    <xf borderId="9" fillId="31" fontId="10" numFmtId="0" xfId="0" applyAlignment="1" applyBorder="1" applyFont="1">
      <alignment horizontal="center" readingOrder="0" vertical="center"/>
    </xf>
    <xf borderId="15" fillId="0" fontId="8" numFmtId="0" xfId="0" applyBorder="1" applyFont="1"/>
    <xf borderId="9" fillId="31" fontId="28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1" fillId="8" fontId="4" numFmtId="164" xfId="0" applyAlignment="1" applyBorder="1" applyFont="1" applyNumberFormat="1">
      <alignment horizontal="center" readingOrder="0" vertical="center"/>
    </xf>
    <xf borderId="1" fillId="16" fontId="4" numFmtId="0" xfId="0" applyAlignment="1" applyBorder="1" applyFont="1">
      <alignment horizontal="center" readingOrder="0" vertical="center"/>
    </xf>
    <xf borderId="1" fillId="8" fontId="1" numFmtId="164" xfId="0" applyAlignment="1" applyBorder="1" applyFont="1" applyNumberFormat="1">
      <alignment horizontal="center" readingOrder="0" vertical="center"/>
    </xf>
    <xf borderId="1" fillId="16" fontId="1" numFmtId="0" xfId="0" applyAlignment="1" applyBorder="1" applyFont="1">
      <alignment horizontal="center" readingOrder="0" vertical="center"/>
    </xf>
    <xf borderId="0" fillId="8" fontId="1" numFmtId="164" xfId="0" applyAlignment="1" applyFont="1" applyNumberFormat="1">
      <alignment horizontal="center" readingOrder="0" vertical="center"/>
    </xf>
    <xf borderId="2" fillId="31" fontId="28" numFmtId="0" xfId="0" applyAlignment="1" applyBorder="1" applyFont="1">
      <alignment horizontal="center" readingOrder="0" vertical="center"/>
    </xf>
    <xf borderId="0" fillId="12" fontId="10" numFmtId="0" xfId="0" applyAlignment="1" applyFont="1">
      <alignment horizontal="left" readingOrder="0" vertical="center"/>
    </xf>
    <xf borderId="0" fillId="8" fontId="4" numFmtId="164" xfId="0" applyAlignment="1" applyFont="1" applyNumberFormat="1">
      <alignment horizontal="left" readingOrder="0" vertical="center"/>
    </xf>
    <xf borderId="0" fillId="8" fontId="3" numFmtId="0" xfId="0" applyAlignment="1" applyFont="1">
      <alignment readingOrder="0"/>
    </xf>
    <xf borderId="16" fillId="34" fontId="29" numFmtId="0" xfId="0" applyAlignment="1" applyBorder="1" applyFill="1" applyFont="1">
      <alignment horizontal="center" readingOrder="0" vertical="center"/>
    </xf>
    <xf borderId="0" fillId="8" fontId="3" numFmtId="164" xfId="0" applyAlignment="1" applyFont="1" applyNumberFormat="1">
      <alignment readingOrder="0"/>
    </xf>
    <xf borderId="0" fillId="0" fontId="12" numFmtId="0" xfId="0" applyAlignment="1" applyFont="1">
      <alignment readingOrder="0" vertical="bottom"/>
    </xf>
    <xf borderId="1" fillId="7" fontId="9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8" fontId="7" numFmtId="164" xfId="0" applyAlignment="1" applyBorder="1" applyFont="1" applyNumberFormat="1">
      <alignment horizontal="center"/>
    </xf>
    <xf borderId="1" fillId="8" fontId="9" numFmtId="164" xfId="0" applyAlignment="1" applyBorder="1" applyFont="1" applyNumberFormat="1">
      <alignment horizontal="center"/>
    </xf>
    <xf borderId="1" fillId="16" fontId="7" numFmtId="0" xfId="0" applyAlignment="1" applyBorder="1" applyFont="1">
      <alignment horizontal="center"/>
    </xf>
    <xf borderId="1" fillId="16" fontId="7" numFmtId="0" xfId="0" applyAlignment="1" applyBorder="1" applyFont="1">
      <alignment horizontal="center" readingOrder="0"/>
    </xf>
    <xf borderId="1" fillId="8" fontId="9" numFmtId="0" xfId="0" applyAlignment="1" applyBorder="1" applyFont="1">
      <alignment horizontal="center"/>
    </xf>
    <xf borderId="1" fillId="16" fontId="9" numFmtId="10" xfId="0" applyAlignment="1" applyBorder="1" applyFont="1" applyNumberFormat="1">
      <alignment horizontal="center" readingOrder="0"/>
    </xf>
    <xf borderId="1" fillId="10" fontId="7" numFmtId="164" xfId="0" applyAlignment="1" applyBorder="1" applyFont="1" applyNumberFormat="1">
      <alignment horizontal="center"/>
    </xf>
    <xf borderId="0" fillId="8" fontId="12" numFmtId="164" xfId="0" applyFont="1" applyNumberFormat="1"/>
    <xf borderId="0" fillId="8" fontId="12" numFmtId="0" xfId="0" applyFont="1"/>
    <xf borderId="1" fillId="7" fontId="9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16" fontId="7" numFmtId="0" xfId="0" applyAlignment="1" applyBorder="1" applyFont="1">
      <alignment horizontal="center"/>
    </xf>
    <xf borderId="1" fillId="8" fontId="9" numFmtId="0" xfId="0" applyAlignment="1" applyBorder="1" applyFont="1">
      <alignment horizontal="center"/>
    </xf>
    <xf borderId="0" fillId="8" fontId="12" numFmtId="0" xfId="0" applyFont="1"/>
    <xf borderId="0" fillId="8" fontId="12" numFmtId="164" xfId="0" applyAlignment="1" applyFont="1" applyNumberFormat="1">
      <alignment vertical="bottom"/>
    </xf>
    <xf borderId="1" fillId="7" fontId="9" numFmtId="0" xfId="0" applyAlignment="1" applyBorder="1" applyFont="1">
      <alignment horizontal="center" readingOrder="0"/>
    </xf>
    <xf borderId="1" fillId="8" fontId="7" numFmtId="164" xfId="0" applyAlignment="1" applyBorder="1" applyFont="1" applyNumberFormat="1">
      <alignment horizontal="center" readingOrder="0"/>
    </xf>
    <xf borderId="0" fillId="34" fontId="30" numFmtId="0" xfId="0" applyAlignment="1" applyFont="1">
      <alignment readingOrder="0"/>
    </xf>
    <xf borderId="0" fillId="35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36" fontId="3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1" fillId="8" fontId="31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0" fillId="8" fontId="3" numFmtId="164" xfId="0" applyAlignment="1" applyFont="1" applyNumberFormat="1">
      <alignment horizontal="center" readingOrder="0" vertical="center"/>
    </xf>
    <xf borderId="0" fillId="8" fontId="3" numFmtId="0" xfId="0" applyAlignment="1" applyFont="1">
      <alignment horizontal="center" readingOrder="0"/>
    </xf>
    <xf borderId="0" fillId="8" fontId="3" numFmtId="0" xfId="0" applyAlignment="1" applyFont="1">
      <alignment horizontal="center" readingOrder="0" vertical="center"/>
    </xf>
    <xf borderId="0" fillId="26" fontId="3" numFmtId="0" xfId="0" applyAlignment="1" applyFont="1">
      <alignment horizontal="center" readingOrder="0"/>
    </xf>
    <xf borderId="0" fillId="26" fontId="3" numFmtId="164" xfId="0" applyAlignment="1" applyFont="1" applyNumberFormat="1">
      <alignment horizontal="center" readingOrder="0" vertical="center"/>
    </xf>
    <xf borderId="0" fillId="26" fontId="3" numFmtId="0" xfId="0" applyAlignment="1" applyFont="1">
      <alignment horizontal="center" readingOrder="0" vertical="center"/>
    </xf>
    <xf borderId="0" fillId="8" fontId="3" numFmtId="4" xfId="0" applyAlignment="1" applyFont="1" applyNumberFormat="1">
      <alignment horizontal="center" readingOrder="0" vertical="center"/>
    </xf>
    <xf borderId="6" fillId="37" fontId="3" numFmtId="0" xfId="0" applyBorder="1" applyFill="1" applyFont="1"/>
    <xf borderId="2" fillId="37" fontId="3" numFmtId="164" xfId="0" applyAlignment="1" applyBorder="1" applyFont="1" applyNumberFormat="1">
      <alignment horizontal="center" readingOrder="0" vertical="center"/>
    </xf>
    <xf borderId="1" fillId="37" fontId="3" numFmtId="0" xfId="0" applyAlignment="1" applyBorder="1" applyFont="1">
      <alignment horizontal="center" readingOrder="0" vertical="center"/>
    </xf>
    <xf borderId="6" fillId="24" fontId="3" numFmtId="0" xfId="0" applyAlignment="1" applyBorder="1" applyFont="1">
      <alignment horizontal="center" readingOrder="0" vertical="center"/>
    </xf>
    <xf borderId="6" fillId="37" fontId="3" numFmtId="0" xfId="0" applyAlignment="1" applyBorder="1" applyFont="1">
      <alignment horizontal="center" readingOrder="0" vertical="center"/>
    </xf>
    <xf borderId="6" fillId="16" fontId="3" numFmtId="0" xfId="0" applyAlignment="1" applyBorder="1" applyFont="1">
      <alignment horizontal="center" readingOrder="0" vertical="center"/>
    </xf>
    <xf borderId="6" fillId="38" fontId="3" numFmtId="0" xfId="0" applyAlignment="1" applyBorder="1" applyFill="1" applyFont="1">
      <alignment horizontal="center" readingOrder="0" vertical="center"/>
    </xf>
    <xf borderId="1" fillId="37" fontId="3" numFmtId="3" xfId="0" applyAlignment="1" applyBorder="1" applyFont="1" applyNumberFormat="1">
      <alignment horizontal="center" readingOrder="0" vertical="center"/>
    </xf>
    <xf borderId="1" fillId="37" fontId="3" numFmtId="0" xfId="0" applyAlignment="1" applyBorder="1" applyFont="1">
      <alignment horizontal="center" readingOrder="0"/>
    </xf>
    <xf borderId="0" fillId="0" fontId="3" numFmtId="10" xfId="0" applyAlignment="1" applyFont="1" applyNumberFormat="1">
      <alignment readingOrder="0"/>
    </xf>
    <xf borderId="1" fillId="0" fontId="3" numFmtId="164" xfId="0" applyBorder="1" applyFont="1" applyNumberFormat="1"/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0" xfId="0" applyAlignment="1" applyBorder="1" applyFont="1" applyNumberFormat="1">
      <alignment horizontal="center" readingOrder="0"/>
    </xf>
    <xf borderId="0" fillId="12" fontId="11" numFmtId="0" xfId="0" applyAlignment="1" applyFont="1">
      <alignment horizontal="center" readingOrder="0" vertical="center"/>
    </xf>
    <xf borderId="0" fillId="12" fontId="11" numFmtId="167" xfId="0" applyAlignment="1" applyFont="1" applyNumberFormat="1">
      <alignment horizontal="center" readingOrder="0" vertical="center"/>
    </xf>
    <xf borderId="0" fillId="14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5.13"/>
  </cols>
  <sheetData>
    <row r="1" ht="30.0" customHeight="1">
      <c r="A1" s="1" t="s">
        <v>0</v>
      </c>
      <c r="B1" s="1" t="s">
        <v>1</v>
      </c>
      <c r="C1" s="2" t="s">
        <v>2</v>
      </c>
    </row>
    <row r="2" ht="30.0" customHeight="1">
      <c r="A2" s="3" t="s">
        <v>3</v>
      </c>
      <c r="B2" s="3" t="s">
        <v>4</v>
      </c>
      <c r="C2" s="4">
        <v>0.05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30.0" customHeight="1">
      <c r="A3" s="3" t="s">
        <v>5</v>
      </c>
      <c r="B3" s="3" t="s">
        <v>4</v>
      </c>
      <c r="C3" s="4">
        <v>0.05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30.0" customHeight="1">
      <c r="A4" s="3" t="s">
        <v>6</v>
      </c>
      <c r="B4" s="3" t="s">
        <v>4</v>
      </c>
      <c r="C4" s="4">
        <v>0.05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30.0" customHeight="1">
      <c r="A5" s="3" t="s">
        <v>7</v>
      </c>
      <c r="B5" s="3" t="s">
        <v>4</v>
      </c>
      <c r="C5" s="4">
        <v>0.05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30.0" customHeight="1">
      <c r="A6" s="3" t="s">
        <v>8</v>
      </c>
      <c r="B6" s="3" t="s">
        <v>4</v>
      </c>
      <c r="C6" s="4">
        <v>0.05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30.0" customHeight="1">
      <c r="A7" s="3" t="s">
        <v>9</v>
      </c>
      <c r="B7" s="3" t="s">
        <v>4</v>
      </c>
      <c r="C7" s="4">
        <v>0.12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30.0" customHeight="1">
      <c r="A8" s="6" t="s">
        <v>3</v>
      </c>
      <c r="B8" s="6" t="s">
        <v>10</v>
      </c>
      <c r="C8" s="7">
        <v>0.05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30.0" customHeight="1">
      <c r="A9" s="6" t="s">
        <v>5</v>
      </c>
      <c r="B9" s="6" t="s">
        <v>10</v>
      </c>
      <c r="C9" s="7">
        <v>0.05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30.0" customHeight="1">
      <c r="A10" s="6" t="s">
        <v>6</v>
      </c>
      <c r="B10" s="6" t="s">
        <v>10</v>
      </c>
      <c r="C10" s="7">
        <v>0.05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30.0" customHeight="1">
      <c r="A11" s="6" t="s">
        <v>7</v>
      </c>
      <c r="B11" s="6" t="s">
        <v>10</v>
      </c>
      <c r="C11" s="7">
        <v>0.05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30.0" customHeight="1">
      <c r="A12" s="6" t="s">
        <v>8</v>
      </c>
      <c r="B12" s="6" t="s">
        <v>10</v>
      </c>
      <c r="C12" s="7">
        <v>0.05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30.0" customHeight="1">
      <c r="A13" s="6" t="s">
        <v>9</v>
      </c>
      <c r="B13" s="6" t="s">
        <v>10</v>
      </c>
      <c r="C13" s="7">
        <v>0.12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30.0" customHeight="1">
      <c r="A14" s="8"/>
      <c r="B14" s="8"/>
      <c r="C14" s="9"/>
    </row>
    <row r="15" ht="30.0" customHeight="1">
      <c r="A15" s="8"/>
      <c r="B15" s="8"/>
      <c r="C15" s="9"/>
    </row>
    <row r="16" ht="30.0" customHeight="1">
      <c r="A16" s="8"/>
      <c r="B16" s="8"/>
      <c r="C16" s="9"/>
    </row>
    <row r="17" ht="30.0" customHeight="1">
      <c r="C17" s="10"/>
    </row>
    <row r="18" ht="30.0" customHeight="1">
      <c r="C18" s="10"/>
    </row>
    <row r="19" ht="30.0" customHeight="1">
      <c r="C19" s="10"/>
    </row>
    <row r="20" ht="30.0" customHeight="1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5"/>
    <col customWidth="1" min="3" max="3" width="18.88"/>
    <col customWidth="1" min="4" max="4" width="37.63"/>
    <col customWidth="1" min="5" max="5" width="18.88"/>
    <col customWidth="1" min="6" max="7" width="25.13"/>
  </cols>
  <sheetData>
    <row r="1" ht="30.0" customHeight="1">
      <c r="A1" s="11">
        <v>1.0</v>
      </c>
      <c r="B1" s="11" t="s">
        <v>11</v>
      </c>
      <c r="C1" s="11" t="s">
        <v>12</v>
      </c>
      <c r="D1" s="12" t="s">
        <v>13</v>
      </c>
      <c r="E1" s="13" t="s">
        <v>14</v>
      </c>
      <c r="F1" s="14" t="s">
        <v>15</v>
      </c>
      <c r="G1" s="15" t="s">
        <v>16</v>
      </c>
    </row>
    <row r="2" ht="30.0" customHeight="1">
      <c r="A2" s="16" t="s">
        <v>17</v>
      </c>
      <c r="B2" s="17"/>
      <c r="C2" s="17"/>
      <c r="D2" s="12">
        <v>100.0</v>
      </c>
      <c r="E2" s="18">
        <v>0.0</v>
      </c>
      <c r="F2" s="19">
        <v>0.0</v>
      </c>
      <c r="G2" s="20" t="str">
        <f t="shared" ref="G2:G21" si="1">SUM(F2/E2)</f>
        <v>#DIV/0!</v>
      </c>
    </row>
    <row r="3" ht="30.0" customHeight="1">
      <c r="A3" s="16" t="s">
        <v>17</v>
      </c>
      <c r="B3" s="17"/>
      <c r="C3" s="17"/>
      <c r="D3" s="12">
        <v>125.0</v>
      </c>
      <c r="E3" s="18">
        <v>0.0</v>
      </c>
      <c r="F3" s="19">
        <v>0.0</v>
      </c>
      <c r="G3" s="20" t="str">
        <f t="shared" si="1"/>
        <v>#DIV/0!</v>
      </c>
    </row>
    <row r="4" ht="30.0" customHeight="1">
      <c r="A4" s="16" t="s">
        <v>17</v>
      </c>
      <c r="B4" s="16" t="s">
        <v>18</v>
      </c>
      <c r="C4" s="16" t="s">
        <v>19</v>
      </c>
      <c r="D4" s="12">
        <v>150.0</v>
      </c>
      <c r="E4" s="18">
        <v>20000.0</v>
      </c>
      <c r="F4" s="19">
        <v>1212.4</v>
      </c>
      <c r="G4" s="20">
        <f t="shared" si="1"/>
        <v>0.06062</v>
      </c>
    </row>
    <row r="5" ht="30.0" customHeight="1">
      <c r="A5" s="16" t="s">
        <v>17</v>
      </c>
      <c r="B5" s="16" t="s">
        <v>18</v>
      </c>
      <c r="C5" s="16" t="s">
        <v>19</v>
      </c>
      <c r="D5" s="12">
        <v>170.0</v>
      </c>
      <c r="E5" s="18">
        <v>500.0</v>
      </c>
      <c r="F5" s="19">
        <v>36.33</v>
      </c>
      <c r="G5" s="21">
        <f t="shared" si="1"/>
        <v>0.07266</v>
      </c>
    </row>
    <row r="6" ht="30.0" customHeight="1">
      <c r="A6" s="16" t="s">
        <v>17</v>
      </c>
      <c r="B6" s="17"/>
      <c r="C6" s="17"/>
      <c r="D6" s="12">
        <v>200.0</v>
      </c>
      <c r="E6" s="18">
        <v>0.0</v>
      </c>
      <c r="F6" s="19">
        <v>0.0</v>
      </c>
      <c r="G6" s="20" t="str">
        <f t="shared" si="1"/>
        <v>#DIV/0!</v>
      </c>
    </row>
    <row r="7" ht="30.0" customHeight="1">
      <c r="A7" s="16" t="s">
        <v>17</v>
      </c>
      <c r="B7" s="16" t="s">
        <v>18</v>
      </c>
      <c r="C7" s="16" t="s">
        <v>19</v>
      </c>
      <c r="D7" s="12">
        <v>250.0</v>
      </c>
      <c r="E7" s="18">
        <v>1000.0</v>
      </c>
      <c r="F7" s="19">
        <v>94.58</v>
      </c>
      <c r="G7" s="20">
        <f t="shared" si="1"/>
        <v>0.09458</v>
      </c>
    </row>
    <row r="8" ht="30.0" customHeight="1">
      <c r="A8" s="16" t="s">
        <v>17</v>
      </c>
      <c r="B8" s="16" t="s">
        <v>18</v>
      </c>
      <c r="C8" s="16" t="s">
        <v>20</v>
      </c>
      <c r="D8" s="12">
        <v>300.0</v>
      </c>
      <c r="E8" s="18">
        <v>500.0</v>
      </c>
      <c r="F8" s="19">
        <v>30.0</v>
      </c>
      <c r="G8" s="20">
        <f t="shared" si="1"/>
        <v>0.06</v>
      </c>
    </row>
    <row r="9" ht="30.0" customHeight="1">
      <c r="A9" s="16" t="s">
        <v>17</v>
      </c>
      <c r="B9" s="16" t="s">
        <v>18</v>
      </c>
      <c r="C9" s="16" t="s">
        <v>20</v>
      </c>
      <c r="D9" s="12">
        <v>350.0</v>
      </c>
      <c r="E9" s="18">
        <v>1000.0</v>
      </c>
      <c r="F9" s="19">
        <v>135.5</v>
      </c>
      <c r="G9" s="20">
        <f t="shared" si="1"/>
        <v>0.1355</v>
      </c>
    </row>
    <row r="10" ht="30.0" customHeight="1">
      <c r="A10" s="16" t="s">
        <v>17</v>
      </c>
      <c r="B10" s="17"/>
      <c r="C10" s="16" t="s">
        <v>19</v>
      </c>
      <c r="D10" s="12">
        <v>400.0</v>
      </c>
      <c r="E10" s="18">
        <v>125.0</v>
      </c>
      <c r="F10" s="19">
        <v>17.91</v>
      </c>
      <c r="G10" s="20">
        <f t="shared" si="1"/>
        <v>0.14328</v>
      </c>
    </row>
    <row r="11" ht="30.0" customHeight="1">
      <c r="A11" s="16" t="s">
        <v>17</v>
      </c>
      <c r="B11" s="17"/>
      <c r="C11" s="17"/>
      <c r="D11" s="12" t="s">
        <v>21</v>
      </c>
      <c r="E11" s="18">
        <v>500.0</v>
      </c>
      <c r="F11" s="19">
        <v>28.55</v>
      </c>
      <c r="G11" s="22">
        <f t="shared" si="1"/>
        <v>0.0571</v>
      </c>
    </row>
    <row r="12" ht="30.0" customHeight="1">
      <c r="A12" s="16" t="s">
        <v>17</v>
      </c>
      <c r="B12" s="16" t="s">
        <v>22</v>
      </c>
      <c r="C12" s="17"/>
      <c r="D12" s="12" t="s">
        <v>23</v>
      </c>
      <c r="E12" s="18">
        <v>100.0</v>
      </c>
      <c r="F12" s="19">
        <v>66.96</v>
      </c>
      <c r="G12" s="20">
        <f t="shared" si="1"/>
        <v>0.6696</v>
      </c>
    </row>
    <row r="13" ht="30.0" customHeight="1">
      <c r="A13" s="16" t="s">
        <v>17</v>
      </c>
      <c r="B13" s="16" t="s">
        <v>24</v>
      </c>
      <c r="C13" s="17"/>
      <c r="D13" s="12" t="s">
        <v>25</v>
      </c>
      <c r="E13" s="18">
        <v>80.0</v>
      </c>
      <c r="F13" s="19">
        <v>74.71</v>
      </c>
      <c r="G13" s="20">
        <f t="shared" si="1"/>
        <v>0.933875</v>
      </c>
    </row>
    <row r="14" ht="30.0" customHeight="1">
      <c r="A14" s="16" t="s">
        <v>17</v>
      </c>
      <c r="B14" s="17"/>
      <c r="C14" s="17"/>
      <c r="D14" s="12" t="s">
        <v>26</v>
      </c>
      <c r="E14" s="18">
        <v>500.0</v>
      </c>
      <c r="F14" s="19">
        <v>13.75</v>
      </c>
      <c r="G14" s="20">
        <f t="shared" si="1"/>
        <v>0.0275</v>
      </c>
    </row>
    <row r="15" ht="30.0" customHeight="1">
      <c r="A15" s="16" t="s">
        <v>17</v>
      </c>
      <c r="B15" s="16" t="s">
        <v>27</v>
      </c>
      <c r="C15" s="16" t="s">
        <v>28</v>
      </c>
      <c r="D15" s="12" t="s">
        <v>29</v>
      </c>
      <c r="E15" s="18">
        <v>1000.0</v>
      </c>
      <c r="F15" s="19">
        <v>380.0</v>
      </c>
      <c r="G15" s="20">
        <f t="shared" si="1"/>
        <v>0.38</v>
      </c>
    </row>
    <row r="16" ht="30.0" customHeight="1">
      <c r="A16" s="16" t="s">
        <v>17</v>
      </c>
      <c r="B16" s="16" t="s">
        <v>30</v>
      </c>
      <c r="C16" s="16" t="s">
        <v>19</v>
      </c>
      <c r="D16" s="12" t="s">
        <v>31</v>
      </c>
      <c r="E16" s="18">
        <v>100.0</v>
      </c>
      <c r="F16" s="19">
        <v>76.0</v>
      </c>
      <c r="G16" s="20">
        <f t="shared" si="1"/>
        <v>0.76</v>
      </c>
    </row>
    <row r="17" ht="30.0" customHeight="1">
      <c r="A17" s="16" t="s">
        <v>32</v>
      </c>
      <c r="B17" s="23" t="s">
        <v>33</v>
      </c>
      <c r="C17" s="16" t="s">
        <v>19</v>
      </c>
      <c r="D17" s="12" t="s">
        <v>31</v>
      </c>
      <c r="E17" s="18">
        <v>200.0</v>
      </c>
      <c r="F17" s="19">
        <v>156.6</v>
      </c>
      <c r="G17" s="20">
        <f t="shared" si="1"/>
        <v>0.783</v>
      </c>
    </row>
    <row r="18" ht="30.0" customHeight="1">
      <c r="A18" s="16" t="s">
        <v>32</v>
      </c>
      <c r="B18" s="16" t="s">
        <v>34</v>
      </c>
      <c r="C18" s="16" t="s">
        <v>35</v>
      </c>
      <c r="D18" s="12" t="s">
        <v>36</v>
      </c>
      <c r="E18" s="18">
        <v>375.0</v>
      </c>
      <c r="F18" s="19">
        <v>58.08</v>
      </c>
      <c r="G18" s="20">
        <f t="shared" si="1"/>
        <v>0.15488</v>
      </c>
    </row>
    <row r="19" ht="30.0" customHeight="1">
      <c r="A19" s="16" t="s">
        <v>32</v>
      </c>
      <c r="B19" s="24" t="s">
        <v>37</v>
      </c>
      <c r="D19" s="12" t="s">
        <v>38</v>
      </c>
      <c r="E19" s="18">
        <v>1000.0</v>
      </c>
      <c r="F19" s="19">
        <v>31.34</v>
      </c>
      <c r="G19" s="22">
        <f t="shared" si="1"/>
        <v>0.03134</v>
      </c>
      <c r="H19" s="25">
        <f>SUM(F19/E19)</f>
        <v>0.03134</v>
      </c>
    </row>
    <row r="20" ht="30.0" customHeight="1">
      <c r="A20" s="16" t="s">
        <v>17</v>
      </c>
      <c r="B20" s="17"/>
      <c r="C20" s="17"/>
      <c r="D20" s="12"/>
      <c r="E20" s="18">
        <v>25.0</v>
      </c>
      <c r="F20" s="19">
        <v>117.27</v>
      </c>
      <c r="G20" s="20">
        <f t="shared" si="1"/>
        <v>4.6908</v>
      </c>
    </row>
    <row r="21" ht="30.0" customHeight="1">
      <c r="A21" s="16" t="s">
        <v>32</v>
      </c>
      <c r="B21" s="24" t="s">
        <v>39</v>
      </c>
      <c r="D21" s="12" t="s">
        <v>40</v>
      </c>
      <c r="E21" s="18">
        <v>200.0</v>
      </c>
      <c r="F21" s="19">
        <v>87.37</v>
      </c>
      <c r="G21" s="22">
        <f t="shared" si="1"/>
        <v>0.43685</v>
      </c>
      <c r="H21" s="25">
        <f>SUM(F21/E21)</f>
        <v>0.43685</v>
      </c>
    </row>
    <row r="22">
      <c r="D22" s="26"/>
      <c r="E22" s="5"/>
      <c r="F22" s="27"/>
      <c r="G22" s="28"/>
    </row>
    <row r="23">
      <c r="D23" s="26"/>
      <c r="E23" s="5"/>
      <c r="F23" s="27"/>
      <c r="G23" s="28"/>
    </row>
    <row r="24">
      <c r="D24" s="26"/>
      <c r="E24" s="5"/>
      <c r="F24" s="27"/>
      <c r="G24" s="28"/>
    </row>
    <row r="25">
      <c r="D25" s="26"/>
      <c r="E25" s="5"/>
      <c r="F25" s="27"/>
      <c r="G25" s="28"/>
    </row>
    <row r="26">
      <c r="D26" s="26"/>
      <c r="E26" s="5"/>
      <c r="F26" s="27"/>
      <c r="G26" s="28"/>
    </row>
    <row r="27">
      <c r="D27" s="26"/>
      <c r="E27" s="5"/>
      <c r="F27" s="27"/>
      <c r="G27" s="28"/>
    </row>
    <row r="28">
      <c r="D28" s="26"/>
      <c r="E28" s="5"/>
      <c r="F28" s="27"/>
      <c r="G28" s="28"/>
    </row>
    <row r="29">
      <c r="D29" s="26"/>
      <c r="E29" s="5"/>
      <c r="F29" s="27"/>
      <c r="G29" s="28"/>
    </row>
    <row r="30">
      <c r="D30" s="26"/>
      <c r="E30" s="5"/>
      <c r="F30" s="27"/>
      <c r="G30" s="28"/>
    </row>
    <row r="31">
      <c r="D31" s="26"/>
      <c r="E31" s="5"/>
      <c r="F31" s="27"/>
      <c r="G31" s="28"/>
    </row>
    <row r="32">
      <c r="D32" s="26"/>
      <c r="E32" s="5"/>
      <c r="F32" s="27"/>
      <c r="G32" s="28"/>
    </row>
    <row r="33">
      <c r="D33" s="26"/>
      <c r="E33" s="5"/>
      <c r="F33" s="27"/>
      <c r="G33" s="28"/>
    </row>
    <row r="34">
      <c r="D34" s="26"/>
      <c r="E34" s="5"/>
      <c r="F34" s="27"/>
      <c r="G34" s="28"/>
    </row>
    <row r="35">
      <c r="D35" s="26"/>
      <c r="E35" s="5"/>
      <c r="F35" s="27"/>
      <c r="G35" s="28"/>
    </row>
    <row r="36">
      <c r="D36" s="26"/>
      <c r="E36" s="5"/>
      <c r="F36" s="27"/>
      <c r="G36" s="28"/>
    </row>
    <row r="37">
      <c r="D37" s="26"/>
      <c r="E37" s="5"/>
      <c r="F37" s="27"/>
      <c r="G37" s="28"/>
    </row>
    <row r="38">
      <c r="D38" s="26"/>
      <c r="E38" s="5"/>
      <c r="F38" s="27"/>
      <c r="G38" s="28"/>
    </row>
    <row r="39">
      <c r="D39" s="26"/>
      <c r="E39" s="5"/>
      <c r="F39" s="27"/>
      <c r="G39" s="28"/>
    </row>
    <row r="40">
      <c r="D40" s="26"/>
      <c r="E40" s="5"/>
      <c r="F40" s="27"/>
      <c r="G40" s="28"/>
    </row>
    <row r="41">
      <c r="D41" s="26"/>
      <c r="E41" s="5"/>
      <c r="F41" s="27"/>
      <c r="G41" s="28"/>
    </row>
    <row r="42">
      <c r="D42" s="26"/>
      <c r="E42" s="5"/>
      <c r="F42" s="27"/>
      <c r="G42" s="28"/>
    </row>
    <row r="43">
      <c r="D43" s="26"/>
      <c r="E43" s="5"/>
      <c r="F43" s="27"/>
      <c r="G43" s="28"/>
    </row>
    <row r="44">
      <c r="D44" s="26"/>
      <c r="E44" s="5"/>
      <c r="F44" s="27"/>
      <c r="G44" s="28"/>
    </row>
    <row r="45">
      <c r="D45" s="26"/>
      <c r="E45" s="5"/>
      <c r="F45" s="27"/>
      <c r="G45" s="28"/>
    </row>
    <row r="46">
      <c r="D46" s="26"/>
      <c r="E46" s="5"/>
      <c r="F46" s="27"/>
      <c r="G46" s="28"/>
    </row>
    <row r="47">
      <c r="D47" s="26"/>
      <c r="E47" s="5"/>
      <c r="F47" s="27"/>
      <c r="G47" s="28"/>
    </row>
    <row r="48">
      <c r="D48" s="26"/>
      <c r="E48" s="5"/>
      <c r="F48" s="27"/>
      <c r="G48" s="28"/>
    </row>
    <row r="49">
      <c r="D49" s="26"/>
      <c r="E49" s="5"/>
      <c r="F49" s="27"/>
      <c r="G49" s="28"/>
    </row>
    <row r="50">
      <c r="D50" s="26"/>
      <c r="E50" s="5"/>
      <c r="F50" s="27"/>
      <c r="G50" s="28"/>
    </row>
    <row r="51">
      <c r="D51" s="26"/>
      <c r="E51" s="5"/>
      <c r="F51" s="27"/>
      <c r="G51" s="28"/>
    </row>
    <row r="52">
      <c r="D52" s="26"/>
      <c r="E52" s="5"/>
      <c r="F52" s="27"/>
      <c r="G52" s="28"/>
    </row>
    <row r="53">
      <c r="D53" s="26"/>
      <c r="E53" s="5"/>
      <c r="F53" s="27"/>
      <c r="G53" s="28"/>
    </row>
    <row r="54">
      <c r="D54" s="26"/>
      <c r="E54" s="5"/>
      <c r="F54" s="27"/>
      <c r="G54" s="28"/>
    </row>
    <row r="55">
      <c r="D55" s="26"/>
      <c r="E55" s="5"/>
      <c r="F55" s="27"/>
      <c r="G55" s="28"/>
    </row>
    <row r="56">
      <c r="D56" s="26"/>
      <c r="E56" s="5"/>
      <c r="F56" s="27"/>
      <c r="G56" s="28"/>
    </row>
    <row r="57">
      <c r="D57" s="26"/>
      <c r="E57" s="5"/>
      <c r="F57" s="27"/>
      <c r="G57" s="28"/>
    </row>
    <row r="58">
      <c r="D58" s="26"/>
      <c r="E58" s="5"/>
      <c r="F58" s="27"/>
      <c r="G58" s="28"/>
    </row>
    <row r="59">
      <c r="D59" s="26"/>
      <c r="E59" s="5"/>
      <c r="F59" s="27"/>
      <c r="G59" s="28"/>
    </row>
    <row r="60">
      <c r="D60" s="26"/>
      <c r="E60" s="5"/>
      <c r="F60" s="27"/>
      <c r="G60" s="28"/>
    </row>
    <row r="61">
      <c r="D61" s="26"/>
      <c r="E61" s="5"/>
      <c r="F61" s="27"/>
      <c r="G61" s="28"/>
    </row>
    <row r="62">
      <c r="D62" s="26"/>
      <c r="E62" s="5"/>
      <c r="F62" s="27"/>
      <c r="G62" s="28"/>
    </row>
    <row r="63">
      <c r="D63" s="26"/>
      <c r="E63" s="5"/>
      <c r="F63" s="27"/>
      <c r="G63" s="28"/>
    </row>
    <row r="64">
      <c r="D64" s="26"/>
      <c r="E64" s="5"/>
      <c r="F64" s="27"/>
      <c r="G64" s="28"/>
    </row>
    <row r="65">
      <c r="D65" s="26"/>
      <c r="E65" s="5"/>
      <c r="F65" s="27"/>
      <c r="G65" s="28"/>
    </row>
    <row r="66">
      <c r="D66" s="26"/>
      <c r="E66" s="5"/>
      <c r="F66" s="27"/>
      <c r="G66" s="28"/>
    </row>
    <row r="67">
      <c r="D67" s="26"/>
      <c r="E67" s="5"/>
      <c r="F67" s="27"/>
      <c r="G67" s="28"/>
    </row>
    <row r="68">
      <c r="D68" s="26"/>
      <c r="E68" s="5"/>
      <c r="F68" s="27"/>
      <c r="G68" s="28"/>
    </row>
    <row r="69">
      <c r="D69" s="26"/>
      <c r="E69" s="5"/>
      <c r="F69" s="27"/>
      <c r="G69" s="28"/>
    </row>
    <row r="70">
      <c r="D70" s="26"/>
      <c r="E70" s="5"/>
      <c r="F70" s="27"/>
      <c r="G70" s="28"/>
    </row>
    <row r="71">
      <c r="D71" s="26"/>
      <c r="E71" s="5"/>
      <c r="F71" s="27"/>
      <c r="G71" s="28"/>
    </row>
    <row r="72">
      <c r="D72" s="26"/>
      <c r="E72" s="5"/>
      <c r="F72" s="27"/>
      <c r="G72" s="28"/>
    </row>
    <row r="73">
      <c r="D73" s="26"/>
      <c r="E73" s="5"/>
      <c r="F73" s="27"/>
      <c r="G73" s="28"/>
    </row>
    <row r="74">
      <c r="D74" s="26"/>
      <c r="E74" s="5"/>
      <c r="F74" s="27"/>
      <c r="G74" s="28"/>
    </row>
    <row r="75">
      <c r="D75" s="26"/>
      <c r="E75" s="5"/>
      <c r="F75" s="27"/>
      <c r="G75" s="28"/>
    </row>
    <row r="76">
      <c r="D76" s="26"/>
      <c r="E76" s="5"/>
      <c r="F76" s="27"/>
      <c r="G76" s="28"/>
    </row>
    <row r="77">
      <c r="D77" s="26"/>
      <c r="E77" s="5"/>
      <c r="F77" s="27"/>
      <c r="G77" s="28"/>
    </row>
    <row r="78">
      <c r="D78" s="26"/>
      <c r="E78" s="5"/>
      <c r="F78" s="27"/>
      <c r="G78" s="28"/>
    </row>
    <row r="79">
      <c r="D79" s="26"/>
      <c r="E79" s="5"/>
      <c r="F79" s="27"/>
      <c r="G79" s="28"/>
    </row>
    <row r="80">
      <c r="D80" s="26"/>
      <c r="E80" s="5"/>
      <c r="F80" s="27"/>
      <c r="G80" s="28"/>
    </row>
    <row r="81">
      <c r="D81" s="26"/>
      <c r="E81" s="5"/>
      <c r="F81" s="27"/>
      <c r="G81" s="28"/>
    </row>
    <row r="82">
      <c r="D82" s="26"/>
      <c r="E82" s="5"/>
      <c r="F82" s="27"/>
      <c r="G82" s="28"/>
    </row>
    <row r="83">
      <c r="D83" s="26"/>
      <c r="E83" s="5"/>
      <c r="F83" s="27"/>
      <c r="G83" s="28"/>
    </row>
    <row r="84">
      <c r="D84" s="26"/>
      <c r="E84" s="5"/>
      <c r="F84" s="27"/>
      <c r="G84" s="28"/>
    </row>
    <row r="85">
      <c r="D85" s="26"/>
      <c r="E85" s="5"/>
      <c r="F85" s="27"/>
      <c r="G85" s="28"/>
    </row>
    <row r="86">
      <c r="D86" s="26"/>
      <c r="E86" s="5"/>
      <c r="F86" s="27"/>
      <c r="G86" s="28"/>
    </row>
    <row r="87">
      <c r="D87" s="26"/>
      <c r="E87" s="5"/>
      <c r="F87" s="27"/>
      <c r="G87" s="28"/>
    </row>
    <row r="88">
      <c r="D88" s="26"/>
      <c r="E88" s="5"/>
      <c r="F88" s="27"/>
      <c r="G88" s="28"/>
    </row>
    <row r="89">
      <c r="D89" s="26"/>
      <c r="E89" s="5"/>
      <c r="F89" s="27"/>
      <c r="G89" s="28"/>
    </row>
    <row r="90">
      <c r="D90" s="26"/>
      <c r="E90" s="5"/>
      <c r="F90" s="27"/>
      <c r="G90" s="28"/>
    </row>
    <row r="91">
      <c r="D91" s="26"/>
      <c r="E91" s="5"/>
      <c r="F91" s="27"/>
      <c r="G91" s="28"/>
    </row>
    <row r="92">
      <c r="D92" s="26"/>
      <c r="E92" s="5"/>
      <c r="F92" s="27"/>
      <c r="G92" s="28"/>
    </row>
    <row r="93">
      <c r="D93" s="26"/>
      <c r="E93" s="5"/>
      <c r="F93" s="27"/>
      <c r="G93" s="28"/>
    </row>
    <row r="94">
      <c r="D94" s="26"/>
      <c r="E94" s="5"/>
      <c r="F94" s="27"/>
      <c r="G94" s="28"/>
    </row>
    <row r="95">
      <c r="D95" s="26"/>
      <c r="E95" s="5"/>
      <c r="F95" s="27"/>
      <c r="G95" s="28"/>
    </row>
    <row r="96">
      <c r="D96" s="26"/>
      <c r="E96" s="5"/>
      <c r="F96" s="27"/>
      <c r="G96" s="28"/>
    </row>
    <row r="97">
      <c r="D97" s="26"/>
      <c r="E97" s="5"/>
      <c r="F97" s="27"/>
      <c r="G97" s="28"/>
    </row>
    <row r="98">
      <c r="D98" s="26"/>
      <c r="E98" s="5"/>
      <c r="F98" s="27"/>
      <c r="G98" s="28"/>
    </row>
    <row r="99">
      <c r="D99" s="26"/>
      <c r="E99" s="5"/>
      <c r="F99" s="27"/>
      <c r="G99" s="28"/>
    </row>
    <row r="100">
      <c r="D100" s="26"/>
      <c r="E100" s="5"/>
      <c r="F100" s="27"/>
      <c r="G100" s="28"/>
    </row>
    <row r="101">
      <c r="D101" s="26"/>
      <c r="E101" s="5"/>
      <c r="F101" s="27"/>
      <c r="G101" s="28"/>
    </row>
    <row r="102">
      <c r="D102" s="26"/>
      <c r="E102" s="5"/>
      <c r="F102" s="27"/>
      <c r="G102" s="28"/>
    </row>
    <row r="103">
      <c r="D103" s="26"/>
      <c r="E103" s="5"/>
      <c r="F103" s="27"/>
      <c r="G103" s="28"/>
    </row>
    <row r="104">
      <c r="D104" s="26"/>
      <c r="E104" s="5"/>
      <c r="F104" s="27"/>
      <c r="G104" s="28"/>
    </row>
    <row r="105">
      <c r="D105" s="26"/>
      <c r="E105" s="5"/>
      <c r="F105" s="27"/>
      <c r="G105" s="28"/>
    </row>
    <row r="106">
      <c r="D106" s="26"/>
      <c r="E106" s="5"/>
      <c r="F106" s="27"/>
      <c r="G106" s="28"/>
    </row>
    <row r="107">
      <c r="D107" s="26"/>
      <c r="E107" s="5"/>
      <c r="F107" s="27"/>
      <c r="G107" s="28"/>
    </row>
    <row r="108">
      <c r="D108" s="26"/>
      <c r="E108" s="5"/>
      <c r="F108" s="27"/>
      <c r="G108" s="28"/>
    </row>
    <row r="109">
      <c r="D109" s="26"/>
      <c r="E109" s="5"/>
      <c r="F109" s="27"/>
      <c r="G109" s="28"/>
    </row>
    <row r="110">
      <c r="D110" s="26"/>
      <c r="E110" s="5"/>
      <c r="F110" s="27"/>
      <c r="G110" s="28"/>
    </row>
    <row r="111">
      <c r="D111" s="26"/>
      <c r="E111" s="5"/>
      <c r="F111" s="27"/>
      <c r="G111" s="28"/>
    </row>
    <row r="112">
      <c r="D112" s="26"/>
      <c r="E112" s="5"/>
      <c r="F112" s="27"/>
      <c r="G112" s="28"/>
    </row>
    <row r="113">
      <c r="D113" s="26"/>
      <c r="E113" s="5"/>
      <c r="F113" s="27"/>
      <c r="G113" s="28"/>
    </row>
    <row r="114">
      <c r="D114" s="26"/>
      <c r="E114" s="5"/>
      <c r="F114" s="27"/>
      <c r="G114" s="28"/>
    </row>
    <row r="115">
      <c r="D115" s="26"/>
      <c r="E115" s="5"/>
      <c r="F115" s="27"/>
      <c r="G115" s="28"/>
    </row>
    <row r="116">
      <c r="D116" s="26"/>
      <c r="E116" s="5"/>
      <c r="F116" s="27"/>
      <c r="G116" s="28"/>
    </row>
    <row r="117">
      <c r="D117" s="26"/>
      <c r="E117" s="5"/>
      <c r="F117" s="27"/>
      <c r="G117" s="28"/>
    </row>
    <row r="118">
      <c r="D118" s="26"/>
      <c r="E118" s="5"/>
      <c r="F118" s="27"/>
      <c r="G118" s="28"/>
    </row>
    <row r="119">
      <c r="D119" s="26"/>
      <c r="E119" s="5"/>
      <c r="F119" s="27"/>
      <c r="G119" s="28"/>
    </row>
    <row r="120">
      <c r="D120" s="26"/>
      <c r="E120" s="5"/>
      <c r="F120" s="27"/>
      <c r="G120" s="28"/>
    </row>
    <row r="121">
      <c r="D121" s="26"/>
      <c r="E121" s="5"/>
      <c r="F121" s="27"/>
      <c r="G121" s="28"/>
    </row>
    <row r="122">
      <c r="D122" s="26"/>
      <c r="E122" s="5"/>
      <c r="F122" s="27"/>
      <c r="G122" s="28"/>
    </row>
    <row r="123">
      <c r="D123" s="26"/>
      <c r="E123" s="5"/>
      <c r="F123" s="27"/>
      <c r="G123" s="28"/>
    </row>
    <row r="124">
      <c r="D124" s="26"/>
      <c r="E124" s="5"/>
      <c r="F124" s="27"/>
      <c r="G124" s="28"/>
    </row>
    <row r="125">
      <c r="D125" s="26"/>
      <c r="E125" s="5"/>
      <c r="F125" s="27"/>
      <c r="G125" s="28"/>
    </row>
    <row r="126">
      <c r="D126" s="26"/>
      <c r="E126" s="5"/>
      <c r="F126" s="27"/>
      <c r="G126" s="28"/>
    </row>
    <row r="127">
      <c r="D127" s="26"/>
      <c r="E127" s="5"/>
      <c r="F127" s="27"/>
      <c r="G127" s="28"/>
    </row>
    <row r="128">
      <c r="D128" s="26"/>
      <c r="E128" s="5"/>
      <c r="F128" s="27"/>
      <c r="G128" s="28"/>
    </row>
    <row r="129">
      <c r="D129" s="26"/>
      <c r="E129" s="5"/>
      <c r="F129" s="27"/>
      <c r="G129" s="28"/>
    </row>
    <row r="130">
      <c r="D130" s="26"/>
      <c r="E130" s="5"/>
      <c r="F130" s="27"/>
      <c r="G130" s="28"/>
    </row>
    <row r="131">
      <c r="D131" s="26"/>
      <c r="E131" s="5"/>
      <c r="F131" s="27"/>
      <c r="G131" s="28"/>
    </row>
    <row r="132">
      <c r="D132" s="26"/>
      <c r="E132" s="5"/>
      <c r="F132" s="27"/>
      <c r="G132" s="28"/>
    </row>
    <row r="133">
      <c r="D133" s="26"/>
      <c r="E133" s="5"/>
      <c r="F133" s="27"/>
      <c r="G133" s="28"/>
    </row>
    <row r="134">
      <c r="D134" s="26"/>
      <c r="E134" s="5"/>
      <c r="F134" s="27"/>
      <c r="G134" s="28"/>
    </row>
    <row r="135">
      <c r="D135" s="26"/>
      <c r="E135" s="5"/>
      <c r="F135" s="27"/>
      <c r="G135" s="28"/>
    </row>
    <row r="136">
      <c r="D136" s="26"/>
      <c r="E136" s="5"/>
      <c r="F136" s="27"/>
      <c r="G136" s="28"/>
    </row>
    <row r="137">
      <c r="D137" s="26"/>
      <c r="E137" s="5"/>
      <c r="F137" s="27"/>
      <c r="G137" s="28"/>
    </row>
    <row r="138">
      <c r="D138" s="26"/>
      <c r="E138" s="5"/>
      <c r="F138" s="27"/>
      <c r="G138" s="28"/>
    </row>
    <row r="139">
      <c r="D139" s="26"/>
      <c r="E139" s="5"/>
      <c r="F139" s="27"/>
      <c r="G139" s="28"/>
    </row>
    <row r="140">
      <c r="D140" s="26"/>
      <c r="E140" s="5"/>
      <c r="F140" s="27"/>
      <c r="G140" s="28"/>
    </row>
    <row r="141">
      <c r="D141" s="26"/>
      <c r="E141" s="5"/>
      <c r="F141" s="27"/>
      <c r="G141" s="28"/>
    </row>
    <row r="142">
      <c r="D142" s="26"/>
      <c r="E142" s="5"/>
      <c r="F142" s="27"/>
      <c r="G142" s="28"/>
    </row>
    <row r="143">
      <c r="D143" s="26"/>
      <c r="E143" s="5"/>
      <c r="F143" s="27"/>
      <c r="G143" s="28"/>
    </row>
    <row r="144">
      <c r="D144" s="26"/>
      <c r="E144" s="5"/>
      <c r="F144" s="27"/>
      <c r="G144" s="28"/>
    </row>
    <row r="145">
      <c r="D145" s="26"/>
      <c r="E145" s="5"/>
      <c r="F145" s="27"/>
      <c r="G145" s="28"/>
    </row>
    <row r="146">
      <c r="D146" s="26"/>
      <c r="E146" s="5"/>
      <c r="F146" s="27"/>
      <c r="G146" s="28"/>
    </row>
    <row r="147">
      <c r="D147" s="26"/>
      <c r="E147" s="5"/>
      <c r="F147" s="27"/>
      <c r="G147" s="28"/>
    </row>
    <row r="148">
      <c r="D148" s="26"/>
      <c r="E148" s="5"/>
      <c r="F148" s="27"/>
      <c r="G148" s="28"/>
    </row>
    <row r="149">
      <c r="D149" s="26"/>
      <c r="E149" s="5"/>
      <c r="F149" s="27"/>
      <c r="G149" s="28"/>
    </row>
    <row r="150">
      <c r="D150" s="26"/>
      <c r="E150" s="5"/>
      <c r="F150" s="27"/>
      <c r="G150" s="28"/>
    </row>
    <row r="151">
      <c r="D151" s="26"/>
      <c r="E151" s="5"/>
      <c r="F151" s="27"/>
      <c r="G151" s="28"/>
    </row>
    <row r="152">
      <c r="D152" s="26"/>
      <c r="E152" s="5"/>
      <c r="F152" s="27"/>
      <c r="G152" s="28"/>
    </row>
    <row r="153">
      <c r="D153" s="26"/>
      <c r="E153" s="5"/>
      <c r="F153" s="27"/>
      <c r="G153" s="28"/>
    </row>
    <row r="154">
      <c r="D154" s="26"/>
      <c r="E154" s="5"/>
      <c r="F154" s="27"/>
      <c r="G154" s="28"/>
    </row>
    <row r="155">
      <c r="D155" s="26"/>
      <c r="E155" s="5"/>
      <c r="F155" s="27"/>
      <c r="G155" s="28"/>
    </row>
    <row r="156">
      <c r="D156" s="26"/>
      <c r="E156" s="5"/>
      <c r="F156" s="27"/>
      <c r="G156" s="28"/>
    </row>
    <row r="157">
      <c r="D157" s="26"/>
      <c r="E157" s="5"/>
      <c r="F157" s="27"/>
      <c r="G157" s="28"/>
    </row>
    <row r="158">
      <c r="D158" s="26"/>
      <c r="E158" s="5"/>
      <c r="F158" s="27"/>
      <c r="G158" s="28"/>
    </row>
    <row r="159">
      <c r="D159" s="26"/>
      <c r="E159" s="5"/>
      <c r="F159" s="27"/>
      <c r="G159" s="28"/>
    </row>
    <row r="160">
      <c r="D160" s="26"/>
      <c r="E160" s="5"/>
      <c r="F160" s="27"/>
      <c r="G160" s="28"/>
    </row>
    <row r="161">
      <c r="D161" s="26"/>
      <c r="E161" s="5"/>
      <c r="F161" s="27"/>
      <c r="G161" s="28"/>
    </row>
    <row r="162">
      <c r="D162" s="26"/>
      <c r="E162" s="5"/>
      <c r="F162" s="27"/>
      <c r="G162" s="28"/>
    </row>
    <row r="163">
      <c r="D163" s="26"/>
      <c r="E163" s="5"/>
      <c r="F163" s="27"/>
      <c r="G163" s="28"/>
    </row>
    <row r="164">
      <c r="D164" s="26"/>
      <c r="E164" s="5"/>
      <c r="F164" s="27"/>
      <c r="G164" s="28"/>
    </row>
    <row r="165">
      <c r="D165" s="26"/>
      <c r="E165" s="5"/>
      <c r="F165" s="27"/>
      <c r="G165" s="28"/>
    </row>
    <row r="166">
      <c r="D166" s="26"/>
      <c r="E166" s="5"/>
      <c r="F166" s="27"/>
      <c r="G166" s="28"/>
    </row>
    <row r="167">
      <c r="D167" s="26"/>
      <c r="E167" s="5"/>
      <c r="F167" s="27"/>
      <c r="G167" s="28"/>
    </row>
    <row r="168">
      <c r="D168" s="26"/>
      <c r="E168" s="5"/>
      <c r="F168" s="27"/>
      <c r="G168" s="28"/>
    </row>
    <row r="169">
      <c r="D169" s="26"/>
      <c r="E169" s="5"/>
      <c r="F169" s="27"/>
      <c r="G169" s="28"/>
    </row>
    <row r="170">
      <c r="D170" s="26"/>
      <c r="E170" s="5"/>
      <c r="F170" s="27"/>
      <c r="G170" s="28"/>
    </row>
    <row r="171">
      <c r="D171" s="26"/>
      <c r="E171" s="5"/>
      <c r="F171" s="27"/>
      <c r="G171" s="28"/>
    </row>
    <row r="172">
      <c r="D172" s="26"/>
      <c r="E172" s="5"/>
      <c r="F172" s="27"/>
      <c r="G172" s="28"/>
    </row>
    <row r="173">
      <c r="D173" s="26"/>
      <c r="E173" s="5"/>
      <c r="F173" s="27"/>
      <c r="G173" s="28"/>
    </row>
    <row r="174">
      <c r="D174" s="26"/>
      <c r="E174" s="5"/>
      <c r="F174" s="27"/>
      <c r="G174" s="28"/>
    </row>
    <row r="175">
      <c r="D175" s="26"/>
      <c r="E175" s="5"/>
      <c r="F175" s="27"/>
      <c r="G175" s="28"/>
    </row>
    <row r="176">
      <c r="D176" s="26"/>
      <c r="E176" s="5"/>
      <c r="F176" s="27"/>
      <c r="G176" s="28"/>
    </row>
    <row r="177">
      <c r="D177" s="26"/>
      <c r="E177" s="5"/>
      <c r="F177" s="27"/>
      <c r="G177" s="28"/>
    </row>
    <row r="178">
      <c r="D178" s="26"/>
      <c r="E178" s="5"/>
      <c r="F178" s="27"/>
      <c r="G178" s="28"/>
    </row>
    <row r="179">
      <c r="D179" s="26"/>
      <c r="E179" s="5"/>
      <c r="F179" s="27"/>
      <c r="G179" s="28"/>
    </row>
    <row r="180">
      <c r="D180" s="26"/>
      <c r="E180" s="5"/>
      <c r="F180" s="27"/>
      <c r="G180" s="28"/>
    </row>
    <row r="181">
      <c r="D181" s="26"/>
      <c r="E181" s="5"/>
      <c r="F181" s="27"/>
      <c r="G181" s="28"/>
    </row>
    <row r="182">
      <c r="D182" s="26"/>
      <c r="E182" s="5"/>
      <c r="F182" s="27"/>
      <c r="G182" s="28"/>
    </row>
    <row r="183">
      <c r="D183" s="26"/>
      <c r="E183" s="5"/>
      <c r="F183" s="27"/>
      <c r="G183" s="28"/>
    </row>
    <row r="184">
      <c r="D184" s="26"/>
      <c r="E184" s="5"/>
      <c r="F184" s="27"/>
      <c r="G184" s="28"/>
    </row>
    <row r="185">
      <c r="D185" s="26"/>
      <c r="E185" s="5"/>
      <c r="F185" s="27"/>
      <c r="G185" s="28"/>
    </row>
    <row r="186">
      <c r="D186" s="26"/>
      <c r="E186" s="5"/>
      <c r="F186" s="27"/>
      <c r="G186" s="28"/>
    </row>
    <row r="187">
      <c r="D187" s="26"/>
      <c r="E187" s="5"/>
      <c r="F187" s="27"/>
      <c r="G187" s="28"/>
    </row>
    <row r="188">
      <c r="D188" s="26"/>
      <c r="E188" s="5"/>
      <c r="F188" s="27"/>
      <c r="G188" s="28"/>
    </row>
    <row r="189">
      <c r="D189" s="26"/>
      <c r="E189" s="5"/>
      <c r="F189" s="27"/>
      <c r="G189" s="28"/>
    </row>
    <row r="190">
      <c r="D190" s="26"/>
      <c r="E190" s="5"/>
      <c r="F190" s="27"/>
      <c r="G190" s="28"/>
    </row>
    <row r="191">
      <c r="D191" s="26"/>
      <c r="E191" s="5"/>
      <c r="F191" s="27"/>
      <c r="G191" s="28"/>
    </row>
    <row r="192">
      <c r="D192" s="26"/>
      <c r="E192" s="5"/>
      <c r="F192" s="27"/>
      <c r="G192" s="28"/>
    </row>
    <row r="193">
      <c r="D193" s="26"/>
      <c r="E193" s="5"/>
      <c r="F193" s="27"/>
      <c r="G193" s="28"/>
    </row>
    <row r="194">
      <c r="D194" s="26"/>
      <c r="E194" s="5"/>
      <c r="F194" s="27"/>
      <c r="G194" s="28"/>
    </row>
    <row r="195">
      <c r="D195" s="26"/>
      <c r="E195" s="5"/>
      <c r="F195" s="27"/>
      <c r="G195" s="28"/>
    </row>
    <row r="196">
      <c r="D196" s="26"/>
      <c r="E196" s="5"/>
      <c r="F196" s="27"/>
      <c r="G196" s="28"/>
    </row>
    <row r="197">
      <c r="D197" s="26"/>
      <c r="E197" s="5"/>
      <c r="F197" s="27"/>
      <c r="G197" s="28"/>
    </row>
    <row r="198">
      <c r="D198" s="26"/>
      <c r="E198" s="5"/>
      <c r="F198" s="27"/>
      <c r="G198" s="28"/>
    </row>
    <row r="199">
      <c r="D199" s="26"/>
      <c r="E199" s="5"/>
      <c r="F199" s="27"/>
      <c r="G199" s="28"/>
    </row>
    <row r="200">
      <c r="D200" s="26"/>
      <c r="E200" s="5"/>
      <c r="F200" s="27"/>
      <c r="G200" s="28"/>
    </row>
    <row r="201">
      <c r="D201" s="26"/>
      <c r="E201" s="5"/>
      <c r="F201" s="27"/>
      <c r="G201" s="28"/>
    </row>
    <row r="202">
      <c r="D202" s="26"/>
      <c r="E202" s="5"/>
      <c r="F202" s="27"/>
      <c r="G202" s="28"/>
    </row>
    <row r="203">
      <c r="D203" s="26"/>
      <c r="E203" s="5"/>
      <c r="F203" s="27"/>
      <c r="G203" s="28"/>
    </row>
    <row r="204">
      <c r="D204" s="26"/>
      <c r="E204" s="5"/>
      <c r="F204" s="27"/>
      <c r="G204" s="28"/>
    </row>
    <row r="205">
      <c r="D205" s="26"/>
      <c r="E205" s="5"/>
      <c r="F205" s="27"/>
      <c r="G205" s="28"/>
    </row>
    <row r="206">
      <c r="D206" s="26"/>
      <c r="E206" s="5"/>
      <c r="F206" s="27"/>
      <c r="G206" s="28"/>
    </row>
    <row r="207">
      <c r="D207" s="26"/>
      <c r="E207" s="5"/>
      <c r="F207" s="27"/>
      <c r="G207" s="28"/>
    </row>
    <row r="208">
      <c r="D208" s="26"/>
      <c r="E208" s="5"/>
      <c r="F208" s="27"/>
      <c r="G208" s="28"/>
    </row>
    <row r="209">
      <c r="D209" s="26"/>
      <c r="E209" s="5"/>
      <c r="F209" s="27"/>
      <c r="G209" s="28"/>
    </row>
    <row r="210">
      <c r="D210" s="26"/>
      <c r="E210" s="5"/>
      <c r="F210" s="27"/>
      <c r="G210" s="28"/>
    </row>
    <row r="211">
      <c r="D211" s="26"/>
      <c r="E211" s="5"/>
      <c r="F211" s="27"/>
      <c r="G211" s="28"/>
    </row>
    <row r="212">
      <c r="D212" s="26"/>
      <c r="E212" s="5"/>
      <c r="F212" s="27"/>
      <c r="G212" s="28"/>
    </row>
    <row r="213">
      <c r="D213" s="26"/>
      <c r="E213" s="5"/>
      <c r="F213" s="27"/>
      <c r="G213" s="28"/>
    </row>
    <row r="214">
      <c r="D214" s="26"/>
      <c r="E214" s="5"/>
      <c r="F214" s="27"/>
      <c r="G214" s="28"/>
    </row>
    <row r="215">
      <c r="D215" s="26"/>
      <c r="E215" s="5"/>
      <c r="F215" s="27"/>
      <c r="G215" s="28"/>
    </row>
    <row r="216">
      <c r="D216" s="26"/>
      <c r="E216" s="5"/>
      <c r="F216" s="27"/>
      <c r="G216" s="28"/>
    </row>
    <row r="217">
      <c r="D217" s="26"/>
      <c r="E217" s="5"/>
      <c r="F217" s="27"/>
      <c r="G217" s="28"/>
    </row>
    <row r="218">
      <c r="D218" s="26"/>
      <c r="E218" s="5"/>
      <c r="F218" s="27"/>
      <c r="G218" s="28"/>
    </row>
    <row r="219">
      <c r="D219" s="26"/>
      <c r="E219" s="5"/>
      <c r="F219" s="27"/>
      <c r="G219" s="28"/>
    </row>
    <row r="220">
      <c r="D220" s="26"/>
      <c r="E220" s="5"/>
      <c r="F220" s="27"/>
      <c r="G220" s="28"/>
    </row>
    <row r="221">
      <c r="D221" s="26"/>
      <c r="E221" s="5"/>
      <c r="F221" s="27"/>
      <c r="G221" s="28"/>
    </row>
    <row r="222">
      <c r="D222" s="26"/>
      <c r="E222" s="5"/>
      <c r="F222" s="27"/>
      <c r="G222" s="28"/>
    </row>
    <row r="223">
      <c r="D223" s="26"/>
      <c r="E223" s="5"/>
      <c r="F223" s="27"/>
      <c r="G223" s="28"/>
    </row>
    <row r="224">
      <c r="D224" s="26"/>
      <c r="E224" s="5"/>
      <c r="F224" s="27"/>
      <c r="G224" s="28"/>
    </row>
    <row r="225">
      <c r="D225" s="26"/>
      <c r="E225" s="5"/>
      <c r="F225" s="27"/>
      <c r="G225" s="28"/>
    </row>
    <row r="226">
      <c r="D226" s="26"/>
      <c r="E226" s="5"/>
      <c r="F226" s="27"/>
      <c r="G226" s="28"/>
    </row>
    <row r="227">
      <c r="D227" s="26"/>
      <c r="E227" s="5"/>
      <c r="F227" s="27"/>
      <c r="G227" s="28"/>
    </row>
    <row r="228">
      <c r="D228" s="26"/>
      <c r="E228" s="5"/>
      <c r="F228" s="27"/>
      <c r="G228" s="28"/>
    </row>
    <row r="229">
      <c r="D229" s="26"/>
      <c r="E229" s="5"/>
      <c r="F229" s="27"/>
      <c r="G229" s="28"/>
    </row>
    <row r="230">
      <c r="D230" s="26"/>
      <c r="E230" s="5"/>
      <c r="F230" s="27"/>
      <c r="G230" s="28"/>
    </row>
    <row r="231">
      <c r="D231" s="26"/>
      <c r="E231" s="5"/>
      <c r="F231" s="27"/>
      <c r="G231" s="28"/>
    </row>
    <row r="232">
      <c r="D232" s="26"/>
      <c r="E232" s="5"/>
      <c r="F232" s="27"/>
      <c r="G232" s="28"/>
    </row>
    <row r="233">
      <c r="D233" s="26"/>
      <c r="E233" s="5"/>
      <c r="F233" s="27"/>
      <c r="G233" s="28"/>
    </row>
    <row r="234">
      <c r="D234" s="26"/>
      <c r="E234" s="5"/>
      <c r="F234" s="27"/>
      <c r="G234" s="28"/>
    </row>
    <row r="235">
      <c r="D235" s="26"/>
      <c r="E235" s="5"/>
      <c r="F235" s="27"/>
      <c r="G235" s="28"/>
    </row>
    <row r="236">
      <c r="D236" s="26"/>
      <c r="E236" s="5"/>
      <c r="F236" s="27"/>
      <c r="G236" s="28"/>
    </row>
    <row r="237">
      <c r="D237" s="26"/>
      <c r="E237" s="5"/>
      <c r="F237" s="27"/>
      <c r="G237" s="28"/>
    </row>
    <row r="238">
      <c r="D238" s="26"/>
      <c r="E238" s="5"/>
      <c r="F238" s="27"/>
      <c r="G238" s="28"/>
    </row>
    <row r="239">
      <c r="D239" s="26"/>
      <c r="E239" s="5"/>
      <c r="F239" s="27"/>
      <c r="G239" s="28"/>
    </row>
    <row r="240">
      <c r="D240" s="26"/>
      <c r="E240" s="5"/>
      <c r="F240" s="27"/>
      <c r="G240" s="28"/>
    </row>
    <row r="241">
      <c r="D241" s="26"/>
      <c r="E241" s="5"/>
      <c r="F241" s="27"/>
      <c r="G241" s="28"/>
    </row>
    <row r="242">
      <c r="D242" s="26"/>
      <c r="E242" s="5"/>
      <c r="F242" s="27"/>
      <c r="G242" s="28"/>
    </row>
    <row r="243">
      <c r="D243" s="26"/>
      <c r="E243" s="5"/>
      <c r="F243" s="27"/>
      <c r="G243" s="28"/>
    </row>
    <row r="244">
      <c r="D244" s="26"/>
      <c r="E244" s="5"/>
      <c r="F244" s="27"/>
      <c r="G244" s="28"/>
    </row>
    <row r="245">
      <c r="D245" s="26"/>
      <c r="E245" s="5"/>
      <c r="F245" s="27"/>
      <c r="G245" s="28"/>
    </row>
    <row r="246">
      <c r="D246" s="26"/>
      <c r="E246" s="5"/>
      <c r="F246" s="27"/>
      <c r="G246" s="28"/>
    </row>
    <row r="247">
      <c r="D247" s="26"/>
      <c r="E247" s="5"/>
      <c r="F247" s="27"/>
      <c r="G247" s="28"/>
    </row>
    <row r="248">
      <c r="D248" s="26"/>
      <c r="E248" s="5"/>
      <c r="F248" s="27"/>
      <c r="G248" s="28"/>
    </row>
    <row r="249">
      <c r="D249" s="26"/>
      <c r="E249" s="5"/>
      <c r="F249" s="27"/>
      <c r="G249" s="28"/>
    </row>
    <row r="250">
      <c r="D250" s="26"/>
      <c r="E250" s="5"/>
      <c r="F250" s="27"/>
      <c r="G250" s="28"/>
    </row>
    <row r="251">
      <c r="D251" s="26"/>
      <c r="E251" s="5"/>
      <c r="F251" s="27"/>
      <c r="G251" s="28"/>
    </row>
    <row r="252">
      <c r="D252" s="26"/>
      <c r="E252" s="5"/>
      <c r="F252" s="27"/>
      <c r="G252" s="28"/>
    </row>
    <row r="253">
      <c r="D253" s="26"/>
      <c r="E253" s="5"/>
      <c r="F253" s="27"/>
      <c r="G253" s="28"/>
    </row>
    <row r="254">
      <c r="D254" s="26"/>
      <c r="E254" s="5"/>
      <c r="F254" s="27"/>
      <c r="G254" s="28"/>
    </row>
    <row r="255">
      <c r="D255" s="26"/>
      <c r="E255" s="5"/>
      <c r="F255" s="27"/>
      <c r="G255" s="28"/>
    </row>
    <row r="256">
      <c r="D256" s="26"/>
      <c r="E256" s="5"/>
      <c r="F256" s="27"/>
      <c r="G256" s="28"/>
    </row>
    <row r="257">
      <c r="D257" s="26"/>
      <c r="E257" s="5"/>
      <c r="F257" s="27"/>
      <c r="G257" s="28"/>
    </row>
    <row r="258">
      <c r="D258" s="26"/>
      <c r="E258" s="5"/>
      <c r="F258" s="27"/>
      <c r="G258" s="28"/>
    </row>
    <row r="259">
      <c r="D259" s="26"/>
      <c r="E259" s="5"/>
      <c r="F259" s="27"/>
      <c r="G259" s="28"/>
    </row>
    <row r="260">
      <c r="D260" s="26"/>
      <c r="E260" s="5"/>
      <c r="F260" s="27"/>
      <c r="G260" s="28"/>
    </row>
    <row r="261">
      <c r="D261" s="26"/>
      <c r="E261" s="5"/>
      <c r="F261" s="27"/>
      <c r="G261" s="28"/>
    </row>
    <row r="262">
      <c r="D262" s="26"/>
      <c r="E262" s="5"/>
      <c r="F262" s="27"/>
      <c r="G262" s="28"/>
    </row>
    <row r="263">
      <c r="D263" s="26"/>
      <c r="E263" s="5"/>
      <c r="F263" s="27"/>
      <c r="G263" s="28"/>
    </row>
    <row r="264">
      <c r="D264" s="26"/>
      <c r="E264" s="5"/>
      <c r="F264" s="27"/>
      <c r="G264" s="28"/>
    </row>
    <row r="265">
      <c r="D265" s="26"/>
      <c r="E265" s="5"/>
      <c r="F265" s="27"/>
      <c r="G265" s="28"/>
    </row>
    <row r="266">
      <c r="D266" s="26"/>
      <c r="E266" s="5"/>
      <c r="F266" s="27"/>
      <c r="G266" s="28"/>
    </row>
    <row r="267">
      <c r="D267" s="26"/>
      <c r="E267" s="5"/>
      <c r="F267" s="27"/>
      <c r="G267" s="28"/>
    </row>
    <row r="268">
      <c r="D268" s="26"/>
      <c r="E268" s="5"/>
      <c r="F268" s="27"/>
      <c r="G268" s="28"/>
    </row>
    <row r="269">
      <c r="D269" s="26"/>
      <c r="E269" s="5"/>
      <c r="F269" s="27"/>
      <c r="G269" s="28"/>
    </row>
    <row r="270">
      <c r="D270" s="26"/>
      <c r="E270" s="5"/>
      <c r="F270" s="27"/>
      <c r="G270" s="28"/>
    </row>
    <row r="271">
      <c r="D271" s="26"/>
      <c r="E271" s="5"/>
      <c r="F271" s="27"/>
      <c r="G271" s="28"/>
    </row>
    <row r="272">
      <c r="D272" s="26"/>
      <c r="E272" s="5"/>
      <c r="F272" s="27"/>
      <c r="G272" s="28"/>
    </row>
    <row r="273">
      <c r="D273" s="26"/>
      <c r="E273" s="5"/>
      <c r="F273" s="27"/>
      <c r="G273" s="28"/>
    </row>
    <row r="274">
      <c r="D274" s="26"/>
      <c r="E274" s="5"/>
      <c r="F274" s="27"/>
      <c r="G274" s="28"/>
    </row>
    <row r="275">
      <c r="D275" s="26"/>
      <c r="E275" s="5"/>
      <c r="F275" s="27"/>
      <c r="G275" s="28"/>
    </row>
    <row r="276">
      <c r="D276" s="26"/>
      <c r="E276" s="5"/>
      <c r="F276" s="27"/>
      <c r="G276" s="28"/>
    </row>
    <row r="277">
      <c r="D277" s="26"/>
      <c r="E277" s="5"/>
      <c r="F277" s="27"/>
      <c r="G277" s="28"/>
    </row>
    <row r="278">
      <c r="D278" s="26"/>
      <c r="E278" s="5"/>
      <c r="F278" s="27"/>
      <c r="G278" s="28"/>
    </row>
    <row r="279">
      <c r="D279" s="26"/>
      <c r="E279" s="5"/>
      <c r="F279" s="27"/>
      <c r="G279" s="28"/>
    </row>
    <row r="280">
      <c r="D280" s="26"/>
      <c r="E280" s="5"/>
      <c r="F280" s="27"/>
      <c r="G280" s="28"/>
    </row>
    <row r="281">
      <c r="D281" s="26"/>
      <c r="E281" s="5"/>
      <c r="F281" s="27"/>
      <c r="G281" s="28"/>
    </row>
    <row r="282">
      <c r="D282" s="26"/>
      <c r="E282" s="5"/>
      <c r="F282" s="27"/>
      <c r="G282" s="28"/>
    </row>
    <row r="283">
      <c r="D283" s="26"/>
      <c r="E283" s="5"/>
      <c r="F283" s="27"/>
      <c r="G283" s="28"/>
    </row>
    <row r="284">
      <c r="D284" s="26"/>
      <c r="E284" s="5"/>
      <c r="F284" s="27"/>
      <c r="G284" s="28"/>
    </row>
    <row r="285">
      <c r="D285" s="26"/>
      <c r="E285" s="5"/>
      <c r="F285" s="27"/>
      <c r="G285" s="28"/>
    </row>
    <row r="286">
      <c r="D286" s="26"/>
      <c r="E286" s="5"/>
      <c r="F286" s="27"/>
      <c r="G286" s="28"/>
    </row>
    <row r="287">
      <c r="D287" s="26"/>
      <c r="E287" s="5"/>
      <c r="F287" s="27"/>
      <c r="G287" s="28"/>
    </row>
    <row r="288">
      <c r="D288" s="26"/>
      <c r="E288" s="5"/>
      <c r="F288" s="27"/>
      <c r="G288" s="28"/>
    </row>
    <row r="289">
      <c r="D289" s="26"/>
      <c r="E289" s="5"/>
      <c r="F289" s="27"/>
      <c r="G289" s="28"/>
    </row>
    <row r="290">
      <c r="D290" s="26"/>
      <c r="E290" s="5"/>
      <c r="F290" s="27"/>
      <c r="G290" s="28"/>
    </row>
    <row r="291">
      <c r="D291" s="26"/>
      <c r="E291" s="5"/>
      <c r="F291" s="27"/>
      <c r="G291" s="28"/>
    </row>
    <row r="292">
      <c r="D292" s="26"/>
      <c r="E292" s="5"/>
      <c r="F292" s="27"/>
      <c r="G292" s="28"/>
    </row>
    <row r="293">
      <c r="D293" s="26"/>
      <c r="E293" s="5"/>
      <c r="F293" s="27"/>
      <c r="G293" s="28"/>
    </row>
    <row r="294">
      <c r="D294" s="26"/>
      <c r="E294" s="5"/>
      <c r="F294" s="27"/>
      <c r="G294" s="28"/>
    </row>
    <row r="295">
      <c r="D295" s="26"/>
      <c r="E295" s="5"/>
      <c r="F295" s="27"/>
      <c r="G295" s="28"/>
    </row>
    <row r="296">
      <c r="D296" s="26"/>
      <c r="E296" s="5"/>
      <c r="F296" s="27"/>
      <c r="G296" s="28"/>
    </row>
    <row r="297">
      <c r="D297" s="26"/>
      <c r="E297" s="5"/>
      <c r="F297" s="27"/>
      <c r="G297" s="28"/>
    </row>
    <row r="298">
      <c r="D298" s="26"/>
      <c r="E298" s="5"/>
      <c r="F298" s="27"/>
      <c r="G298" s="28"/>
    </row>
    <row r="299">
      <c r="D299" s="26"/>
      <c r="E299" s="5"/>
      <c r="F299" s="27"/>
      <c r="G299" s="28"/>
    </row>
    <row r="300">
      <c r="D300" s="26"/>
      <c r="E300" s="5"/>
      <c r="F300" s="27"/>
      <c r="G300" s="28"/>
    </row>
    <row r="301">
      <c r="D301" s="26"/>
      <c r="E301" s="5"/>
      <c r="F301" s="27"/>
      <c r="G301" s="28"/>
    </row>
    <row r="302">
      <c r="D302" s="26"/>
      <c r="E302" s="5"/>
      <c r="F302" s="27"/>
      <c r="G302" s="28"/>
    </row>
    <row r="303">
      <c r="D303" s="26"/>
      <c r="E303" s="5"/>
      <c r="F303" s="27"/>
      <c r="G303" s="28"/>
    </row>
    <row r="304">
      <c r="D304" s="26"/>
      <c r="E304" s="5"/>
      <c r="F304" s="27"/>
      <c r="G304" s="28"/>
    </row>
    <row r="305">
      <c r="D305" s="26"/>
      <c r="E305" s="5"/>
      <c r="F305" s="27"/>
      <c r="G305" s="28"/>
    </row>
    <row r="306">
      <c r="D306" s="26"/>
      <c r="E306" s="5"/>
      <c r="F306" s="27"/>
      <c r="G306" s="28"/>
    </row>
    <row r="307">
      <c r="D307" s="26"/>
      <c r="E307" s="5"/>
      <c r="F307" s="27"/>
      <c r="G307" s="28"/>
    </row>
    <row r="308">
      <c r="D308" s="26"/>
      <c r="E308" s="5"/>
      <c r="F308" s="27"/>
      <c r="G308" s="28"/>
    </row>
    <row r="309">
      <c r="D309" s="26"/>
      <c r="E309" s="5"/>
      <c r="F309" s="27"/>
      <c r="G309" s="28"/>
    </row>
    <row r="310">
      <c r="D310" s="26"/>
      <c r="E310" s="5"/>
      <c r="F310" s="27"/>
      <c r="G310" s="28"/>
    </row>
    <row r="311">
      <c r="D311" s="26"/>
      <c r="E311" s="5"/>
      <c r="F311" s="27"/>
      <c r="G311" s="28"/>
    </row>
    <row r="312">
      <c r="D312" s="26"/>
      <c r="E312" s="5"/>
      <c r="F312" s="27"/>
      <c r="G312" s="28"/>
    </row>
    <row r="313">
      <c r="D313" s="26"/>
      <c r="E313" s="5"/>
      <c r="F313" s="27"/>
      <c r="G313" s="28"/>
    </row>
    <row r="314">
      <c r="D314" s="26"/>
      <c r="E314" s="5"/>
      <c r="F314" s="27"/>
      <c r="G314" s="28"/>
    </row>
    <row r="315">
      <c r="D315" s="26"/>
      <c r="E315" s="5"/>
      <c r="F315" s="27"/>
      <c r="G315" s="28"/>
    </row>
    <row r="316">
      <c r="D316" s="26"/>
      <c r="E316" s="5"/>
      <c r="F316" s="27"/>
      <c r="G316" s="28"/>
    </row>
    <row r="317">
      <c r="D317" s="26"/>
      <c r="E317" s="5"/>
      <c r="F317" s="27"/>
      <c r="G317" s="28"/>
    </row>
    <row r="318">
      <c r="D318" s="26"/>
      <c r="E318" s="5"/>
      <c r="F318" s="27"/>
      <c r="G318" s="28"/>
    </row>
    <row r="319">
      <c r="D319" s="26"/>
      <c r="E319" s="5"/>
      <c r="F319" s="27"/>
      <c r="G319" s="28"/>
    </row>
    <row r="320">
      <c r="D320" s="26"/>
      <c r="E320" s="5"/>
      <c r="F320" s="27"/>
      <c r="G320" s="28"/>
    </row>
    <row r="321">
      <c r="D321" s="26"/>
      <c r="E321" s="5"/>
      <c r="F321" s="27"/>
      <c r="G321" s="28"/>
    </row>
    <row r="322">
      <c r="D322" s="26"/>
      <c r="E322" s="5"/>
      <c r="F322" s="27"/>
      <c r="G322" s="28"/>
    </row>
    <row r="323">
      <c r="D323" s="26"/>
      <c r="E323" s="5"/>
      <c r="F323" s="27"/>
      <c r="G323" s="28"/>
    </row>
    <row r="324">
      <c r="D324" s="26"/>
      <c r="E324" s="5"/>
      <c r="F324" s="27"/>
      <c r="G324" s="28"/>
    </row>
    <row r="325">
      <c r="D325" s="26"/>
      <c r="E325" s="5"/>
      <c r="F325" s="27"/>
      <c r="G325" s="28"/>
    </row>
    <row r="326">
      <c r="D326" s="26"/>
      <c r="E326" s="5"/>
      <c r="F326" s="27"/>
      <c r="G326" s="28"/>
    </row>
    <row r="327">
      <c r="D327" s="26"/>
      <c r="E327" s="5"/>
      <c r="F327" s="27"/>
      <c r="G327" s="28"/>
    </row>
    <row r="328">
      <c r="D328" s="26"/>
      <c r="E328" s="5"/>
      <c r="F328" s="27"/>
      <c r="G328" s="28"/>
    </row>
    <row r="329">
      <c r="D329" s="26"/>
      <c r="E329" s="5"/>
      <c r="F329" s="27"/>
      <c r="G329" s="28"/>
    </row>
    <row r="330">
      <c r="D330" s="26"/>
      <c r="E330" s="5"/>
      <c r="F330" s="27"/>
      <c r="G330" s="28"/>
    </row>
    <row r="331">
      <c r="D331" s="26"/>
      <c r="E331" s="5"/>
      <c r="F331" s="27"/>
      <c r="G331" s="28"/>
    </row>
    <row r="332">
      <c r="D332" s="26"/>
      <c r="E332" s="5"/>
      <c r="F332" s="27"/>
      <c r="G332" s="28"/>
    </row>
    <row r="333">
      <c r="D333" s="26"/>
      <c r="E333" s="5"/>
      <c r="F333" s="27"/>
      <c r="G333" s="28"/>
    </row>
    <row r="334">
      <c r="D334" s="26"/>
      <c r="E334" s="5"/>
      <c r="F334" s="27"/>
      <c r="G334" s="28"/>
    </row>
    <row r="335">
      <c r="D335" s="26"/>
      <c r="E335" s="5"/>
      <c r="F335" s="27"/>
      <c r="G335" s="28"/>
    </row>
    <row r="336">
      <c r="D336" s="26"/>
      <c r="E336" s="5"/>
      <c r="F336" s="27"/>
      <c r="G336" s="28"/>
    </row>
    <row r="337">
      <c r="D337" s="26"/>
      <c r="E337" s="5"/>
      <c r="F337" s="27"/>
      <c r="G337" s="28"/>
    </row>
    <row r="338">
      <c r="D338" s="26"/>
      <c r="E338" s="5"/>
      <c r="F338" s="27"/>
      <c r="G338" s="28"/>
    </row>
    <row r="339">
      <c r="D339" s="26"/>
      <c r="E339" s="5"/>
      <c r="F339" s="27"/>
      <c r="G339" s="28"/>
    </row>
    <row r="340">
      <c r="D340" s="26"/>
      <c r="E340" s="5"/>
      <c r="F340" s="27"/>
      <c r="G340" s="28"/>
    </row>
    <row r="341">
      <c r="D341" s="26"/>
      <c r="E341" s="5"/>
      <c r="F341" s="27"/>
      <c r="G341" s="28"/>
    </row>
    <row r="342">
      <c r="D342" s="26"/>
      <c r="E342" s="5"/>
      <c r="F342" s="27"/>
      <c r="G342" s="28"/>
    </row>
    <row r="343">
      <c r="D343" s="26"/>
      <c r="E343" s="5"/>
      <c r="F343" s="27"/>
      <c r="G343" s="28"/>
    </row>
    <row r="344">
      <c r="D344" s="26"/>
      <c r="E344" s="5"/>
      <c r="F344" s="27"/>
      <c r="G344" s="28"/>
    </row>
    <row r="345">
      <c r="D345" s="26"/>
      <c r="E345" s="5"/>
      <c r="F345" s="27"/>
      <c r="G345" s="28"/>
    </row>
    <row r="346">
      <c r="D346" s="26"/>
      <c r="E346" s="5"/>
      <c r="F346" s="27"/>
      <c r="G346" s="28"/>
    </row>
    <row r="347">
      <c r="D347" s="26"/>
      <c r="E347" s="5"/>
      <c r="F347" s="27"/>
      <c r="G347" s="28"/>
    </row>
    <row r="348">
      <c r="D348" s="26"/>
      <c r="E348" s="5"/>
      <c r="F348" s="27"/>
      <c r="G348" s="28"/>
    </row>
    <row r="349">
      <c r="D349" s="26"/>
      <c r="E349" s="5"/>
      <c r="F349" s="27"/>
      <c r="G349" s="28"/>
    </row>
    <row r="350">
      <c r="D350" s="26"/>
      <c r="E350" s="5"/>
      <c r="F350" s="27"/>
      <c r="G350" s="28"/>
    </row>
    <row r="351">
      <c r="D351" s="26"/>
      <c r="E351" s="5"/>
      <c r="F351" s="27"/>
      <c r="G351" s="28"/>
    </row>
    <row r="352">
      <c r="D352" s="26"/>
      <c r="E352" s="5"/>
      <c r="F352" s="27"/>
      <c r="G352" s="28"/>
    </row>
    <row r="353">
      <c r="D353" s="26"/>
      <c r="E353" s="5"/>
      <c r="F353" s="27"/>
      <c r="G353" s="28"/>
    </row>
    <row r="354">
      <c r="D354" s="26"/>
      <c r="E354" s="5"/>
      <c r="F354" s="27"/>
      <c r="G354" s="28"/>
    </row>
    <row r="355">
      <c r="D355" s="26"/>
      <c r="E355" s="5"/>
      <c r="F355" s="27"/>
      <c r="G355" s="28"/>
    </row>
    <row r="356">
      <c r="D356" s="26"/>
      <c r="E356" s="5"/>
      <c r="F356" s="27"/>
      <c r="G356" s="28"/>
    </row>
    <row r="357">
      <c r="D357" s="26"/>
      <c r="E357" s="5"/>
      <c r="F357" s="27"/>
      <c r="G357" s="28"/>
    </row>
    <row r="358">
      <c r="D358" s="26"/>
      <c r="E358" s="5"/>
      <c r="F358" s="27"/>
      <c r="G358" s="28"/>
    </row>
    <row r="359">
      <c r="D359" s="26"/>
      <c r="E359" s="5"/>
      <c r="F359" s="27"/>
      <c r="G359" s="28"/>
    </row>
    <row r="360">
      <c r="D360" s="26"/>
      <c r="E360" s="5"/>
      <c r="F360" s="27"/>
      <c r="G360" s="28"/>
    </row>
    <row r="361">
      <c r="D361" s="26"/>
      <c r="E361" s="5"/>
      <c r="F361" s="27"/>
      <c r="G361" s="28"/>
    </row>
    <row r="362">
      <c r="D362" s="26"/>
      <c r="E362" s="5"/>
      <c r="F362" s="27"/>
      <c r="G362" s="28"/>
    </row>
    <row r="363">
      <c r="D363" s="26"/>
      <c r="E363" s="5"/>
      <c r="F363" s="27"/>
      <c r="G363" s="28"/>
    </row>
    <row r="364">
      <c r="D364" s="26"/>
      <c r="E364" s="5"/>
      <c r="F364" s="27"/>
      <c r="G364" s="28"/>
    </row>
    <row r="365">
      <c r="D365" s="26"/>
      <c r="E365" s="5"/>
      <c r="F365" s="27"/>
      <c r="G365" s="28"/>
    </row>
    <row r="366">
      <c r="D366" s="26"/>
      <c r="E366" s="5"/>
      <c r="F366" s="27"/>
      <c r="G366" s="28"/>
    </row>
    <row r="367">
      <c r="D367" s="26"/>
      <c r="E367" s="5"/>
      <c r="F367" s="27"/>
      <c r="G367" s="28"/>
    </row>
    <row r="368">
      <c r="D368" s="26"/>
      <c r="E368" s="5"/>
      <c r="F368" s="27"/>
      <c r="G368" s="28"/>
    </row>
    <row r="369">
      <c r="D369" s="26"/>
      <c r="E369" s="5"/>
      <c r="F369" s="27"/>
      <c r="G369" s="28"/>
    </row>
    <row r="370">
      <c r="D370" s="26"/>
      <c r="E370" s="5"/>
      <c r="F370" s="27"/>
      <c r="G370" s="28"/>
    </row>
    <row r="371">
      <c r="D371" s="26"/>
      <c r="E371" s="5"/>
      <c r="F371" s="27"/>
      <c r="G371" s="28"/>
    </row>
    <row r="372">
      <c r="D372" s="26"/>
      <c r="E372" s="5"/>
      <c r="F372" s="27"/>
      <c r="G372" s="28"/>
    </row>
    <row r="373">
      <c r="D373" s="26"/>
      <c r="E373" s="5"/>
      <c r="F373" s="27"/>
      <c r="G373" s="28"/>
    </row>
    <row r="374">
      <c r="D374" s="26"/>
      <c r="E374" s="5"/>
      <c r="F374" s="27"/>
      <c r="G374" s="28"/>
    </row>
    <row r="375">
      <c r="D375" s="26"/>
      <c r="E375" s="5"/>
      <c r="F375" s="27"/>
      <c r="G375" s="28"/>
    </row>
    <row r="376">
      <c r="D376" s="26"/>
      <c r="E376" s="5"/>
      <c r="F376" s="27"/>
      <c r="G376" s="28"/>
    </row>
    <row r="377">
      <c r="D377" s="26"/>
      <c r="E377" s="5"/>
      <c r="F377" s="27"/>
      <c r="G377" s="28"/>
    </row>
    <row r="378">
      <c r="D378" s="26"/>
      <c r="E378" s="5"/>
      <c r="F378" s="27"/>
      <c r="G378" s="28"/>
    </row>
    <row r="379">
      <c r="D379" s="26"/>
      <c r="E379" s="5"/>
      <c r="F379" s="27"/>
      <c r="G379" s="28"/>
    </row>
    <row r="380">
      <c r="D380" s="26"/>
      <c r="E380" s="5"/>
      <c r="F380" s="27"/>
      <c r="G380" s="28"/>
    </row>
    <row r="381">
      <c r="D381" s="26"/>
      <c r="E381" s="5"/>
      <c r="F381" s="27"/>
      <c r="G381" s="28"/>
    </row>
    <row r="382">
      <c r="D382" s="26"/>
      <c r="E382" s="5"/>
      <c r="F382" s="27"/>
      <c r="G382" s="28"/>
    </row>
    <row r="383">
      <c r="D383" s="26"/>
      <c r="E383" s="5"/>
      <c r="F383" s="27"/>
      <c r="G383" s="28"/>
    </row>
    <row r="384">
      <c r="D384" s="26"/>
      <c r="E384" s="5"/>
      <c r="F384" s="27"/>
      <c r="G384" s="28"/>
    </row>
    <row r="385">
      <c r="D385" s="26"/>
      <c r="E385" s="5"/>
      <c r="F385" s="27"/>
      <c r="G385" s="28"/>
    </row>
    <row r="386">
      <c r="D386" s="26"/>
      <c r="E386" s="5"/>
      <c r="F386" s="27"/>
      <c r="G386" s="28"/>
    </row>
    <row r="387">
      <c r="D387" s="26"/>
      <c r="E387" s="5"/>
      <c r="F387" s="27"/>
      <c r="G387" s="28"/>
    </row>
    <row r="388">
      <c r="D388" s="26"/>
      <c r="E388" s="5"/>
      <c r="F388" s="27"/>
      <c r="G388" s="28"/>
    </row>
    <row r="389">
      <c r="D389" s="26"/>
      <c r="E389" s="5"/>
      <c r="F389" s="27"/>
      <c r="G389" s="28"/>
    </row>
    <row r="390">
      <c r="D390" s="26"/>
      <c r="E390" s="5"/>
      <c r="F390" s="27"/>
      <c r="G390" s="28"/>
    </row>
    <row r="391">
      <c r="D391" s="26"/>
      <c r="E391" s="5"/>
      <c r="F391" s="27"/>
      <c r="G391" s="28"/>
    </row>
    <row r="392">
      <c r="D392" s="26"/>
      <c r="E392" s="5"/>
      <c r="F392" s="27"/>
      <c r="G392" s="28"/>
    </row>
    <row r="393">
      <c r="D393" s="26"/>
      <c r="E393" s="5"/>
      <c r="F393" s="27"/>
      <c r="G393" s="28"/>
    </row>
    <row r="394">
      <c r="D394" s="26"/>
      <c r="E394" s="5"/>
      <c r="F394" s="27"/>
      <c r="G394" s="28"/>
    </row>
    <row r="395">
      <c r="D395" s="26"/>
      <c r="E395" s="5"/>
      <c r="F395" s="27"/>
      <c r="G395" s="28"/>
    </row>
    <row r="396">
      <c r="D396" s="26"/>
      <c r="E396" s="5"/>
      <c r="F396" s="27"/>
      <c r="G396" s="28"/>
    </row>
    <row r="397">
      <c r="D397" s="26"/>
      <c r="E397" s="5"/>
      <c r="F397" s="27"/>
      <c r="G397" s="28"/>
    </row>
    <row r="398">
      <c r="D398" s="26"/>
      <c r="E398" s="5"/>
      <c r="F398" s="27"/>
      <c r="G398" s="28"/>
    </row>
    <row r="399">
      <c r="D399" s="26"/>
      <c r="E399" s="5"/>
      <c r="F399" s="27"/>
      <c r="G399" s="28"/>
    </row>
    <row r="400">
      <c r="D400" s="26"/>
      <c r="E400" s="5"/>
      <c r="F400" s="27"/>
      <c r="G400" s="28"/>
    </row>
    <row r="401">
      <c r="D401" s="26"/>
      <c r="E401" s="5"/>
      <c r="F401" s="27"/>
      <c r="G401" s="28"/>
    </row>
    <row r="402">
      <c r="D402" s="26"/>
      <c r="E402" s="5"/>
      <c r="F402" s="27"/>
      <c r="G402" s="28"/>
    </row>
    <row r="403">
      <c r="D403" s="26"/>
      <c r="E403" s="5"/>
      <c r="F403" s="27"/>
      <c r="G403" s="28"/>
    </row>
    <row r="404">
      <c r="D404" s="26"/>
      <c r="E404" s="5"/>
      <c r="F404" s="27"/>
      <c r="G404" s="28"/>
    </row>
    <row r="405">
      <c r="D405" s="26"/>
      <c r="E405" s="5"/>
      <c r="F405" s="27"/>
      <c r="G405" s="28"/>
    </row>
    <row r="406">
      <c r="D406" s="26"/>
      <c r="E406" s="5"/>
      <c r="F406" s="27"/>
      <c r="G406" s="28"/>
    </row>
    <row r="407">
      <c r="D407" s="26"/>
      <c r="E407" s="5"/>
      <c r="F407" s="27"/>
      <c r="G407" s="28"/>
    </row>
    <row r="408">
      <c r="D408" s="26"/>
      <c r="E408" s="5"/>
      <c r="F408" s="27"/>
      <c r="G408" s="28"/>
    </row>
    <row r="409">
      <c r="D409" s="26"/>
      <c r="E409" s="5"/>
      <c r="F409" s="27"/>
      <c r="G409" s="28"/>
    </row>
    <row r="410">
      <c r="D410" s="26"/>
      <c r="E410" s="5"/>
      <c r="F410" s="27"/>
      <c r="G410" s="28"/>
    </row>
    <row r="411">
      <c r="D411" s="26"/>
      <c r="E411" s="5"/>
      <c r="F411" s="27"/>
      <c r="G411" s="28"/>
    </row>
    <row r="412">
      <c r="D412" s="26"/>
      <c r="E412" s="5"/>
      <c r="F412" s="27"/>
      <c r="G412" s="28"/>
    </row>
    <row r="413">
      <c r="D413" s="26"/>
      <c r="E413" s="5"/>
      <c r="F413" s="27"/>
      <c r="G413" s="28"/>
    </row>
    <row r="414">
      <c r="D414" s="26"/>
      <c r="E414" s="5"/>
      <c r="F414" s="27"/>
      <c r="G414" s="28"/>
    </row>
    <row r="415">
      <c r="D415" s="26"/>
      <c r="E415" s="5"/>
      <c r="F415" s="27"/>
      <c r="G415" s="28"/>
    </row>
    <row r="416">
      <c r="D416" s="26"/>
      <c r="E416" s="5"/>
      <c r="F416" s="27"/>
      <c r="G416" s="28"/>
    </row>
    <row r="417">
      <c r="D417" s="26"/>
      <c r="E417" s="5"/>
      <c r="F417" s="27"/>
      <c r="G417" s="28"/>
    </row>
    <row r="418">
      <c r="D418" s="26"/>
      <c r="E418" s="5"/>
      <c r="F418" s="27"/>
      <c r="G418" s="28"/>
    </row>
    <row r="419">
      <c r="D419" s="26"/>
      <c r="E419" s="5"/>
      <c r="F419" s="27"/>
      <c r="G419" s="28"/>
    </row>
    <row r="420">
      <c r="D420" s="26"/>
      <c r="E420" s="5"/>
      <c r="F420" s="27"/>
      <c r="G420" s="28"/>
    </row>
    <row r="421">
      <c r="D421" s="26"/>
      <c r="E421" s="5"/>
      <c r="F421" s="27"/>
      <c r="G421" s="28"/>
    </row>
    <row r="422">
      <c r="D422" s="26"/>
      <c r="E422" s="5"/>
      <c r="F422" s="27"/>
      <c r="G422" s="28"/>
    </row>
    <row r="423">
      <c r="D423" s="26"/>
      <c r="E423" s="5"/>
      <c r="F423" s="27"/>
      <c r="G423" s="28"/>
    </row>
    <row r="424">
      <c r="D424" s="26"/>
      <c r="E424" s="5"/>
      <c r="F424" s="27"/>
      <c r="G424" s="28"/>
    </row>
    <row r="425">
      <c r="D425" s="26"/>
      <c r="E425" s="5"/>
      <c r="F425" s="27"/>
      <c r="G425" s="28"/>
    </row>
    <row r="426">
      <c r="D426" s="26"/>
      <c r="E426" s="5"/>
      <c r="F426" s="27"/>
      <c r="G426" s="28"/>
    </row>
    <row r="427">
      <c r="D427" s="26"/>
      <c r="E427" s="5"/>
      <c r="F427" s="27"/>
      <c r="G427" s="28"/>
    </row>
    <row r="428">
      <c r="D428" s="26"/>
      <c r="E428" s="5"/>
      <c r="F428" s="27"/>
      <c r="G428" s="28"/>
    </row>
    <row r="429">
      <c r="D429" s="26"/>
      <c r="E429" s="5"/>
      <c r="F429" s="27"/>
      <c r="G429" s="28"/>
    </row>
    <row r="430">
      <c r="D430" s="26"/>
      <c r="E430" s="5"/>
      <c r="F430" s="27"/>
      <c r="G430" s="28"/>
    </row>
    <row r="431">
      <c r="D431" s="26"/>
      <c r="E431" s="5"/>
      <c r="F431" s="27"/>
      <c r="G431" s="28"/>
    </row>
    <row r="432">
      <c r="D432" s="26"/>
      <c r="E432" s="5"/>
      <c r="F432" s="27"/>
      <c r="G432" s="28"/>
    </row>
    <row r="433">
      <c r="D433" s="26"/>
      <c r="E433" s="5"/>
      <c r="F433" s="27"/>
      <c r="G433" s="28"/>
    </row>
    <row r="434">
      <c r="D434" s="26"/>
      <c r="E434" s="5"/>
      <c r="F434" s="27"/>
      <c r="G434" s="28"/>
    </row>
    <row r="435">
      <c r="D435" s="26"/>
      <c r="E435" s="5"/>
      <c r="F435" s="27"/>
      <c r="G435" s="28"/>
    </row>
    <row r="436">
      <c r="D436" s="26"/>
      <c r="E436" s="5"/>
      <c r="F436" s="27"/>
      <c r="G436" s="28"/>
    </row>
    <row r="437">
      <c r="D437" s="26"/>
      <c r="E437" s="5"/>
      <c r="F437" s="27"/>
      <c r="G437" s="28"/>
    </row>
    <row r="438">
      <c r="D438" s="26"/>
      <c r="E438" s="5"/>
      <c r="F438" s="27"/>
      <c r="G438" s="28"/>
    </row>
    <row r="439">
      <c r="D439" s="26"/>
      <c r="E439" s="5"/>
      <c r="F439" s="27"/>
      <c r="G439" s="28"/>
    </row>
    <row r="440">
      <c r="D440" s="26"/>
      <c r="E440" s="5"/>
      <c r="F440" s="27"/>
      <c r="G440" s="28"/>
    </row>
    <row r="441">
      <c r="D441" s="26"/>
      <c r="E441" s="5"/>
      <c r="F441" s="27"/>
      <c r="G441" s="28"/>
    </row>
    <row r="442">
      <c r="D442" s="26"/>
      <c r="E442" s="5"/>
      <c r="F442" s="27"/>
      <c r="G442" s="28"/>
    </row>
    <row r="443">
      <c r="D443" s="26"/>
      <c r="E443" s="5"/>
      <c r="F443" s="27"/>
      <c r="G443" s="28"/>
    </row>
    <row r="444">
      <c r="D444" s="26"/>
      <c r="E444" s="5"/>
      <c r="F444" s="27"/>
      <c r="G444" s="28"/>
    </row>
    <row r="445">
      <c r="D445" s="26"/>
      <c r="E445" s="5"/>
      <c r="F445" s="27"/>
      <c r="G445" s="28"/>
    </row>
    <row r="446">
      <c r="D446" s="26"/>
      <c r="E446" s="5"/>
      <c r="F446" s="27"/>
      <c r="G446" s="28"/>
    </row>
    <row r="447">
      <c r="D447" s="26"/>
      <c r="E447" s="5"/>
      <c r="F447" s="27"/>
      <c r="G447" s="28"/>
    </row>
    <row r="448">
      <c r="D448" s="26"/>
      <c r="E448" s="5"/>
      <c r="F448" s="27"/>
      <c r="G448" s="28"/>
    </row>
    <row r="449">
      <c r="D449" s="26"/>
      <c r="E449" s="5"/>
      <c r="F449" s="27"/>
      <c r="G449" s="28"/>
    </row>
    <row r="450">
      <c r="D450" s="26"/>
      <c r="E450" s="5"/>
      <c r="F450" s="27"/>
      <c r="G450" s="28"/>
    </row>
    <row r="451">
      <c r="D451" s="26"/>
      <c r="E451" s="5"/>
      <c r="F451" s="27"/>
      <c r="G451" s="28"/>
    </row>
    <row r="452">
      <c r="D452" s="26"/>
      <c r="E452" s="5"/>
      <c r="F452" s="27"/>
      <c r="G452" s="28"/>
    </row>
    <row r="453">
      <c r="D453" s="26"/>
      <c r="E453" s="5"/>
      <c r="F453" s="27"/>
      <c r="G453" s="28"/>
    </row>
    <row r="454">
      <c r="D454" s="26"/>
      <c r="E454" s="5"/>
      <c r="F454" s="27"/>
      <c r="G454" s="28"/>
    </row>
    <row r="455">
      <c r="D455" s="26"/>
      <c r="E455" s="5"/>
      <c r="F455" s="27"/>
      <c r="G455" s="28"/>
    </row>
    <row r="456">
      <c r="D456" s="26"/>
      <c r="E456" s="5"/>
      <c r="F456" s="27"/>
      <c r="G456" s="28"/>
    </row>
    <row r="457">
      <c r="D457" s="26"/>
      <c r="E457" s="5"/>
      <c r="F457" s="27"/>
      <c r="G457" s="28"/>
    </row>
    <row r="458">
      <c r="D458" s="26"/>
      <c r="E458" s="5"/>
      <c r="F458" s="27"/>
      <c r="G458" s="28"/>
    </row>
    <row r="459">
      <c r="D459" s="26"/>
      <c r="E459" s="5"/>
      <c r="F459" s="27"/>
      <c r="G459" s="28"/>
    </row>
    <row r="460">
      <c r="D460" s="26"/>
      <c r="E460" s="5"/>
      <c r="F460" s="27"/>
      <c r="G460" s="28"/>
    </row>
    <row r="461">
      <c r="D461" s="26"/>
      <c r="E461" s="5"/>
      <c r="F461" s="27"/>
      <c r="G461" s="28"/>
    </row>
    <row r="462">
      <c r="D462" s="26"/>
      <c r="E462" s="5"/>
      <c r="F462" s="27"/>
      <c r="G462" s="28"/>
    </row>
    <row r="463">
      <c r="D463" s="26"/>
      <c r="E463" s="5"/>
      <c r="F463" s="27"/>
      <c r="G463" s="28"/>
    </row>
    <row r="464">
      <c r="D464" s="26"/>
      <c r="E464" s="5"/>
      <c r="F464" s="27"/>
      <c r="G464" s="28"/>
    </row>
    <row r="465">
      <c r="D465" s="26"/>
      <c r="E465" s="5"/>
      <c r="F465" s="27"/>
      <c r="G465" s="28"/>
    </row>
    <row r="466">
      <c r="D466" s="26"/>
      <c r="E466" s="5"/>
      <c r="F466" s="27"/>
      <c r="G466" s="28"/>
    </row>
    <row r="467">
      <c r="D467" s="26"/>
      <c r="E467" s="5"/>
      <c r="F467" s="27"/>
      <c r="G467" s="28"/>
    </row>
    <row r="468">
      <c r="D468" s="26"/>
      <c r="E468" s="5"/>
      <c r="F468" s="27"/>
      <c r="G468" s="28"/>
    </row>
    <row r="469">
      <c r="D469" s="26"/>
      <c r="E469" s="5"/>
      <c r="F469" s="27"/>
      <c r="G469" s="28"/>
    </row>
    <row r="470">
      <c r="D470" s="26"/>
      <c r="E470" s="5"/>
      <c r="F470" s="27"/>
      <c r="G470" s="28"/>
    </row>
    <row r="471">
      <c r="D471" s="26"/>
      <c r="E471" s="5"/>
      <c r="F471" s="27"/>
      <c r="G471" s="28"/>
    </row>
    <row r="472">
      <c r="D472" s="26"/>
      <c r="E472" s="5"/>
      <c r="F472" s="27"/>
      <c r="G472" s="28"/>
    </row>
    <row r="473">
      <c r="D473" s="26"/>
      <c r="E473" s="5"/>
      <c r="F473" s="27"/>
      <c r="G473" s="28"/>
    </row>
    <row r="474">
      <c r="D474" s="26"/>
      <c r="E474" s="5"/>
      <c r="F474" s="27"/>
      <c r="G474" s="28"/>
    </row>
    <row r="475">
      <c r="D475" s="26"/>
      <c r="E475" s="5"/>
      <c r="F475" s="27"/>
      <c r="G475" s="28"/>
    </row>
    <row r="476">
      <c r="D476" s="26"/>
      <c r="E476" s="5"/>
      <c r="F476" s="27"/>
      <c r="G476" s="28"/>
    </row>
    <row r="477">
      <c r="D477" s="26"/>
      <c r="E477" s="5"/>
      <c r="F477" s="27"/>
      <c r="G477" s="28"/>
    </row>
    <row r="478">
      <c r="D478" s="26"/>
      <c r="E478" s="5"/>
      <c r="F478" s="27"/>
      <c r="G478" s="28"/>
    </row>
    <row r="479">
      <c r="D479" s="26"/>
      <c r="E479" s="5"/>
      <c r="F479" s="27"/>
      <c r="G479" s="28"/>
    </row>
    <row r="480">
      <c r="D480" s="26"/>
      <c r="E480" s="5"/>
      <c r="F480" s="27"/>
      <c r="G480" s="28"/>
    </row>
    <row r="481">
      <c r="D481" s="26"/>
      <c r="E481" s="5"/>
      <c r="F481" s="27"/>
      <c r="G481" s="28"/>
    </row>
    <row r="482">
      <c r="D482" s="26"/>
      <c r="E482" s="5"/>
      <c r="F482" s="27"/>
      <c r="G482" s="28"/>
    </row>
    <row r="483">
      <c r="D483" s="26"/>
      <c r="E483" s="5"/>
      <c r="F483" s="27"/>
      <c r="G483" s="28"/>
    </row>
    <row r="484">
      <c r="D484" s="26"/>
      <c r="E484" s="5"/>
      <c r="F484" s="27"/>
      <c r="G484" s="28"/>
    </row>
    <row r="485">
      <c r="D485" s="26"/>
      <c r="E485" s="5"/>
      <c r="F485" s="27"/>
      <c r="G485" s="28"/>
    </row>
    <row r="486">
      <c r="D486" s="26"/>
      <c r="E486" s="5"/>
      <c r="F486" s="27"/>
      <c r="G486" s="28"/>
    </row>
    <row r="487">
      <c r="D487" s="26"/>
      <c r="E487" s="5"/>
      <c r="F487" s="27"/>
      <c r="G487" s="28"/>
    </row>
    <row r="488">
      <c r="D488" s="26"/>
      <c r="E488" s="5"/>
      <c r="F488" s="27"/>
      <c r="G488" s="28"/>
    </row>
    <row r="489">
      <c r="D489" s="26"/>
      <c r="E489" s="5"/>
      <c r="F489" s="27"/>
      <c r="G489" s="28"/>
    </row>
    <row r="490">
      <c r="D490" s="26"/>
      <c r="E490" s="5"/>
      <c r="F490" s="27"/>
      <c r="G490" s="28"/>
    </row>
    <row r="491">
      <c r="D491" s="26"/>
      <c r="E491" s="5"/>
      <c r="F491" s="27"/>
      <c r="G491" s="28"/>
    </row>
    <row r="492">
      <c r="D492" s="26"/>
      <c r="E492" s="5"/>
      <c r="F492" s="27"/>
      <c r="G492" s="28"/>
    </row>
    <row r="493">
      <c r="D493" s="26"/>
      <c r="E493" s="5"/>
      <c r="F493" s="27"/>
      <c r="G493" s="28"/>
    </row>
    <row r="494">
      <c r="D494" s="26"/>
      <c r="E494" s="5"/>
      <c r="F494" s="27"/>
      <c r="G494" s="28"/>
    </row>
    <row r="495">
      <c r="D495" s="26"/>
      <c r="E495" s="5"/>
      <c r="F495" s="27"/>
      <c r="G495" s="28"/>
    </row>
    <row r="496">
      <c r="D496" s="26"/>
      <c r="E496" s="5"/>
      <c r="F496" s="27"/>
      <c r="G496" s="28"/>
    </row>
    <row r="497">
      <c r="D497" s="26"/>
      <c r="E497" s="5"/>
      <c r="F497" s="27"/>
      <c r="G497" s="28"/>
    </row>
    <row r="498">
      <c r="D498" s="26"/>
      <c r="E498" s="5"/>
      <c r="F498" s="27"/>
      <c r="G498" s="28"/>
    </row>
    <row r="499">
      <c r="D499" s="26"/>
      <c r="E499" s="5"/>
      <c r="F499" s="27"/>
      <c r="G499" s="28"/>
    </row>
    <row r="500">
      <c r="D500" s="26"/>
      <c r="E500" s="5"/>
      <c r="F500" s="27"/>
      <c r="G500" s="28"/>
    </row>
    <row r="501">
      <c r="D501" s="26"/>
      <c r="E501" s="5"/>
      <c r="F501" s="27"/>
      <c r="G501" s="28"/>
    </row>
    <row r="502">
      <c r="D502" s="26"/>
      <c r="E502" s="5"/>
      <c r="F502" s="27"/>
      <c r="G502" s="28"/>
    </row>
    <row r="503">
      <c r="D503" s="26"/>
      <c r="E503" s="5"/>
      <c r="F503" s="27"/>
      <c r="G503" s="28"/>
    </row>
    <row r="504">
      <c r="D504" s="26"/>
      <c r="E504" s="5"/>
      <c r="F504" s="27"/>
      <c r="G504" s="28"/>
    </row>
    <row r="505">
      <c r="D505" s="26"/>
      <c r="E505" s="5"/>
      <c r="F505" s="27"/>
      <c r="G505" s="28"/>
    </row>
    <row r="506">
      <c r="D506" s="26"/>
      <c r="E506" s="5"/>
      <c r="F506" s="27"/>
      <c r="G506" s="28"/>
    </row>
    <row r="507">
      <c r="D507" s="26"/>
      <c r="E507" s="5"/>
      <c r="F507" s="27"/>
      <c r="G507" s="28"/>
    </row>
    <row r="508">
      <c r="D508" s="26"/>
      <c r="E508" s="5"/>
      <c r="F508" s="27"/>
      <c r="G508" s="28"/>
    </row>
    <row r="509">
      <c r="D509" s="26"/>
      <c r="E509" s="5"/>
      <c r="F509" s="27"/>
      <c r="G509" s="28"/>
    </row>
    <row r="510">
      <c r="D510" s="26"/>
      <c r="E510" s="5"/>
      <c r="F510" s="27"/>
      <c r="G510" s="28"/>
    </row>
    <row r="511">
      <c r="D511" s="26"/>
      <c r="E511" s="5"/>
      <c r="F511" s="27"/>
      <c r="G511" s="28"/>
    </row>
    <row r="512">
      <c r="D512" s="26"/>
      <c r="E512" s="5"/>
      <c r="F512" s="27"/>
      <c r="G512" s="28"/>
    </row>
    <row r="513">
      <c r="D513" s="26"/>
      <c r="E513" s="5"/>
      <c r="F513" s="27"/>
      <c r="G513" s="28"/>
    </row>
    <row r="514">
      <c r="D514" s="26"/>
      <c r="E514" s="5"/>
      <c r="F514" s="27"/>
      <c r="G514" s="28"/>
    </row>
    <row r="515">
      <c r="D515" s="26"/>
      <c r="E515" s="5"/>
      <c r="F515" s="27"/>
      <c r="G515" s="28"/>
    </row>
    <row r="516">
      <c r="D516" s="26"/>
      <c r="E516" s="5"/>
      <c r="F516" s="27"/>
      <c r="G516" s="28"/>
    </row>
    <row r="517">
      <c r="D517" s="26"/>
      <c r="E517" s="5"/>
      <c r="F517" s="27"/>
      <c r="G517" s="28"/>
    </row>
    <row r="518">
      <c r="D518" s="26"/>
      <c r="E518" s="5"/>
      <c r="F518" s="27"/>
      <c r="G518" s="28"/>
    </row>
    <row r="519">
      <c r="D519" s="26"/>
      <c r="E519" s="5"/>
      <c r="F519" s="27"/>
      <c r="G519" s="28"/>
    </row>
    <row r="520">
      <c r="D520" s="26"/>
      <c r="E520" s="5"/>
      <c r="F520" s="27"/>
      <c r="G520" s="28"/>
    </row>
    <row r="521">
      <c r="D521" s="26"/>
      <c r="E521" s="5"/>
      <c r="F521" s="27"/>
      <c r="G521" s="28"/>
    </row>
    <row r="522">
      <c r="D522" s="26"/>
      <c r="E522" s="5"/>
      <c r="F522" s="27"/>
      <c r="G522" s="28"/>
    </row>
    <row r="523">
      <c r="D523" s="26"/>
      <c r="E523" s="5"/>
      <c r="F523" s="27"/>
      <c r="G523" s="28"/>
    </row>
    <row r="524">
      <c r="D524" s="26"/>
      <c r="E524" s="5"/>
      <c r="F524" s="27"/>
      <c r="G524" s="28"/>
    </row>
    <row r="525">
      <c r="D525" s="26"/>
      <c r="E525" s="5"/>
      <c r="F525" s="27"/>
      <c r="G525" s="28"/>
    </row>
    <row r="526">
      <c r="D526" s="26"/>
      <c r="E526" s="5"/>
      <c r="F526" s="27"/>
      <c r="G526" s="28"/>
    </row>
    <row r="527">
      <c r="D527" s="26"/>
      <c r="E527" s="5"/>
      <c r="F527" s="27"/>
      <c r="G527" s="28"/>
    </row>
    <row r="528">
      <c r="D528" s="26"/>
      <c r="E528" s="5"/>
      <c r="F528" s="27"/>
      <c r="G528" s="28"/>
    </row>
    <row r="529">
      <c r="D529" s="26"/>
      <c r="E529" s="5"/>
      <c r="F529" s="27"/>
      <c r="G529" s="28"/>
    </row>
    <row r="530">
      <c r="D530" s="26"/>
      <c r="E530" s="5"/>
      <c r="F530" s="27"/>
      <c r="G530" s="28"/>
    </row>
    <row r="531">
      <c r="D531" s="26"/>
      <c r="E531" s="5"/>
      <c r="F531" s="27"/>
      <c r="G531" s="28"/>
    </row>
    <row r="532">
      <c r="D532" s="26"/>
      <c r="E532" s="5"/>
      <c r="F532" s="27"/>
      <c r="G532" s="28"/>
    </row>
    <row r="533">
      <c r="D533" s="26"/>
      <c r="E533" s="5"/>
      <c r="F533" s="27"/>
      <c r="G533" s="28"/>
    </row>
    <row r="534">
      <c r="D534" s="26"/>
      <c r="E534" s="5"/>
      <c r="F534" s="27"/>
      <c r="G534" s="28"/>
    </row>
    <row r="535">
      <c r="D535" s="26"/>
      <c r="E535" s="5"/>
      <c r="F535" s="27"/>
      <c r="G535" s="28"/>
    </row>
    <row r="536">
      <c r="D536" s="26"/>
      <c r="E536" s="5"/>
      <c r="F536" s="27"/>
      <c r="G536" s="28"/>
    </row>
    <row r="537">
      <c r="D537" s="26"/>
      <c r="E537" s="5"/>
      <c r="F537" s="27"/>
      <c r="G537" s="28"/>
    </row>
    <row r="538">
      <c r="D538" s="26"/>
      <c r="E538" s="5"/>
      <c r="F538" s="27"/>
      <c r="G538" s="28"/>
    </row>
    <row r="539">
      <c r="D539" s="26"/>
      <c r="E539" s="5"/>
      <c r="F539" s="27"/>
      <c r="G539" s="28"/>
    </row>
    <row r="540">
      <c r="D540" s="26"/>
      <c r="E540" s="5"/>
      <c r="F540" s="27"/>
      <c r="G540" s="28"/>
    </row>
    <row r="541">
      <c r="D541" s="26"/>
      <c r="E541" s="5"/>
      <c r="F541" s="27"/>
      <c r="G541" s="28"/>
    </row>
    <row r="542">
      <c r="D542" s="26"/>
      <c r="E542" s="5"/>
      <c r="F542" s="27"/>
      <c r="G542" s="28"/>
    </row>
    <row r="543">
      <c r="D543" s="26"/>
      <c r="E543" s="5"/>
      <c r="F543" s="27"/>
      <c r="G543" s="28"/>
    </row>
    <row r="544">
      <c r="D544" s="26"/>
      <c r="E544" s="5"/>
      <c r="F544" s="27"/>
      <c r="G544" s="28"/>
    </row>
    <row r="545">
      <c r="D545" s="26"/>
      <c r="E545" s="5"/>
      <c r="F545" s="27"/>
      <c r="G545" s="28"/>
    </row>
    <row r="546">
      <c r="D546" s="26"/>
      <c r="E546" s="5"/>
      <c r="F546" s="27"/>
      <c r="G546" s="28"/>
    </row>
    <row r="547">
      <c r="D547" s="26"/>
      <c r="E547" s="5"/>
      <c r="F547" s="27"/>
      <c r="G547" s="28"/>
    </row>
    <row r="548">
      <c r="D548" s="26"/>
      <c r="E548" s="5"/>
      <c r="F548" s="27"/>
      <c r="G548" s="28"/>
    </row>
    <row r="549">
      <c r="D549" s="26"/>
      <c r="E549" s="5"/>
      <c r="F549" s="27"/>
      <c r="G549" s="28"/>
    </row>
    <row r="550">
      <c r="D550" s="26"/>
      <c r="E550" s="5"/>
      <c r="F550" s="27"/>
      <c r="G550" s="28"/>
    </row>
    <row r="551">
      <c r="D551" s="26"/>
      <c r="E551" s="5"/>
      <c r="F551" s="27"/>
      <c r="G551" s="28"/>
    </row>
    <row r="552">
      <c r="D552" s="26"/>
      <c r="E552" s="5"/>
      <c r="F552" s="27"/>
      <c r="G552" s="28"/>
    </row>
    <row r="553">
      <c r="D553" s="26"/>
      <c r="E553" s="5"/>
      <c r="F553" s="27"/>
      <c r="G553" s="28"/>
    </row>
    <row r="554">
      <c r="D554" s="26"/>
      <c r="E554" s="5"/>
      <c r="F554" s="27"/>
      <c r="G554" s="28"/>
    </row>
    <row r="555">
      <c r="D555" s="26"/>
      <c r="E555" s="5"/>
      <c r="F555" s="27"/>
      <c r="G555" s="28"/>
    </row>
    <row r="556">
      <c r="D556" s="26"/>
      <c r="E556" s="5"/>
      <c r="F556" s="27"/>
      <c r="G556" s="28"/>
    </row>
    <row r="557">
      <c r="D557" s="26"/>
      <c r="E557" s="5"/>
      <c r="F557" s="27"/>
      <c r="G557" s="28"/>
    </row>
    <row r="558">
      <c r="D558" s="26"/>
      <c r="E558" s="5"/>
      <c r="F558" s="27"/>
      <c r="G558" s="28"/>
    </row>
    <row r="559">
      <c r="D559" s="26"/>
      <c r="E559" s="5"/>
      <c r="F559" s="27"/>
      <c r="G559" s="28"/>
    </row>
    <row r="560">
      <c r="D560" s="26"/>
      <c r="E560" s="5"/>
      <c r="F560" s="27"/>
      <c r="G560" s="28"/>
    </row>
    <row r="561">
      <c r="D561" s="26"/>
      <c r="E561" s="5"/>
      <c r="F561" s="27"/>
      <c r="G561" s="28"/>
    </row>
    <row r="562">
      <c r="D562" s="26"/>
      <c r="E562" s="5"/>
      <c r="F562" s="27"/>
      <c r="G562" s="28"/>
    </row>
    <row r="563">
      <c r="D563" s="26"/>
      <c r="E563" s="5"/>
      <c r="F563" s="27"/>
      <c r="G563" s="28"/>
    </row>
    <row r="564">
      <c r="D564" s="26"/>
      <c r="E564" s="5"/>
      <c r="F564" s="27"/>
      <c r="G564" s="28"/>
    </row>
    <row r="565">
      <c r="D565" s="26"/>
      <c r="E565" s="5"/>
      <c r="F565" s="27"/>
      <c r="G565" s="28"/>
    </row>
    <row r="566">
      <c r="D566" s="26"/>
      <c r="E566" s="5"/>
      <c r="F566" s="27"/>
      <c r="G566" s="28"/>
    </row>
    <row r="567">
      <c r="D567" s="26"/>
      <c r="E567" s="5"/>
      <c r="F567" s="27"/>
      <c r="G567" s="28"/>
    </row>
    <row r="568">
      <c r="D568" s="26"/>
      <c r="E568" s="5"/>
      <c r="F568" s="27"/>
      <c r="G568" s="28"/>
    </row>
    <row r="569">
      <c r="D569" s="26"/>
      <c r="E569" s="5"/>
      <c r="F569" s="27"/>
      <c r="G569" s="28"/>
    </row>
    <row r="570">
      <c r="D570" s="26"/>
      <c r="E570" s="5"/>
      <c r="F570" s="27"/>
      <c r="G570" s="28"/>
    </row>
    <row r="571">
      <c r="D571" s="26"/>
      <c r="E571" s="5"/>
      <c r="F571" s="27"/>
      <c r="G571" s="28"/>
    </row>
    <row r="572">
      <c r="D572" s="26"/>
      <c r="E572" s="5"/>
      <c r="F572" s="27"/>
      <c r="G572" s="28"/>
    </row>
    <row r="573">
      <c r="D573" s="26"/>
      <c r="E573" s="5"/>
      <c r="F573" s="27"/>
      <c r="G573" s="28"/>
    </row>
    <row r="574">
      <c r="D574" s="26"/>
      <c r="E574" s="5"/>
      <c r="F574" s="27"/>
      <c r="G574" s="28"/>
    </row>
    <row r="575">
      <c r="D575" s="26"/>
      <c r="E575" s="5"/>
      <c r="F575" s="27"/>
      <c r="G575" s="28"/>
    </row>
    <row r="576">
      <c r="D576" s="26"/>
      <c r="E576" s="5"/>
      <c r="F576" s="27"/>
      <c r="G576" s="28"/>
    </row>
    <row r="577">
      <c r="D577" s="26"/>
      <c r="E577" s="5"/>
      <c r="F577" s="27"/>
      <c r="G577" s="28"/>
    </row>
    <row r="578">
      <c r="D578" s="26"/>
      <c r="E578" s="5"/>
      <c r="F578" s="27"/>
      <c r="G578" s="28"/>
    </row>
    <row r="579">
      <c r="D579" s="26"/>
      <c r="E579" s="5"/>
      <c r="F579" s="27"/>
      <c r="G579" s="28"/>
    </row>
    <row r="580">
      <c r="D580" s="26"/>
      <c r="E580" s="5"/>
      <c r="F580" s="27"/>
      <c r="G580" s="28"/>
    </row>
    <row r="581">
      <c r="D581" s="26"/>
      <c r="E581" s="5"/>
      <c r="F581" s="27"/>
      <c r="G581" s="28"/>
    </row>
    <row r="582">
      <c r="D582" s="26"/>
      <c r="E582" s="5"/>
      <c r="F582" s="27"/>
      <c r="G582" s="28"/>
    </row>
    <row r="583">
      <c r="D583" s="26"/>
      <c r="E583" s="5"/>
      <c r="F583" s="27"/>
      <c r="G583" s="28"/>
    </row>
    <row r="584">
      <c r="D584" s="26"/>
      <c r="E584" s="5"/>
      <c r="F584" s="27"/>
      <c r="G584" s="28"/>
    </row>
    <row r="585">
      <c r="D585" s="26"/>
      <c r="E585" s="5"/>
      <c r="F585" s="27"/>
      <c r="G585" s="28"/>
    </row>
    <row r="586">
      <c r="D586" s="26"/>
      <c r="E586" s="5"/>
      <c r="F586" s="27"/>
      <c r="G586" s="28"/>
    </row>
    <row r="587">
      <c r="D587" s="26"/>
      <c r="E587" s="5"/>
      <c r="F587" s="27"/>
      <c r="G587" s="28"/>
    </row>
    <row r="588">
      <c r="D588" s="26"/>
      <c r="E588" s="5"/>
      <c r="F588" s="27"/>
      <c r="G588" s="28"/>
    </row>
    <row r="589">
      <c r="D589" s="26"/>
      <c r="E589" s="5"/>
      <c r="F589" s="27"/>
      <c r="G589" s="28"/>
    </row>
    <row r="590">
      <c r="D590" s="26"/>
      <c r="E590" s="5"/>
      <c r="F590" s="27"/>
      <c r="G590" s="28"/>
    </row>
    <row r="591">
      <c r="D591" s="26"/>
      <c r="E591" s="5"/>
      <c r="F591" s="27"/>
      <c r="G591" s="28"/>
    </row>
    <row r="592">
      <c r="D592" s="26"/>
      <c r="E592" s="5"/>
      <c r="F592" s="27"/>
      <c r="G592" s="28"/>
    </row>
    <row r="593">
      <c r="D593" s="26"/>
      <c r="E593" s="5"/>
      <c r="F593" s="27"/>
      <c r="G593" s="28"/>
    </row>
    <row r="594">
      <c r="D594" s="26"/>
      <c r="E594" s="5"/>
      <c r="F594" s="27"/>
      <c r="G594" s="28"/>
    </row>
    <row r="595">
      <c r="D595" s="26"/>
      <c r="E595" s="5"/>
      <c r="F595" s="27"/>
      <c r="G595" s="28"/>
    </row>
    <row r="596">
      <c r="D596" s="26"/>
      <c r="E596" s="5"/>
      <c r="F596" s="27"/>
      <c r="G596" s="28"/>
    </row>
    <row r="597">
      <c r="D597" s="26"/>
      <c r="E597" s="5"/>
      <c r="F597" s="27"/>
      <c r="G597" s="28"/>
    </row>
    <row r="598">
      <c r="D598" s="26"/>
      <c r="E598" s="5"/>
      <c r="F598" s="27"/>
      <c r="G598" s="28"/>
    </row>
    <row r="599">
      <c r="D599" s="26"/>
      <c r="E599" s="5"/>
      <c r="F599" s="27"/>
      <c r="G599" s="28"/>
    </row>
    <row r="600">
      <c r="D600" s="26"/>
      <c r="E600" s="5"/>
      <c r="F600" s="27"/>
      <c r="G600" s="28"/>
    </row>
    <row r="601">
      <c r="D601" s="26"/>
      <c r="E601" s="5"/>
      <c r="F601" s="27"/>
      <c r="G601" s="28"/>
    </row>
    <row r="602">
      <c r="D602" s="26"/>
      <c r="E602" s="5"/>
      <c r="F602" s="27"/>
      <c r="G602" s="28"/>
    </row>
    <row r="603">
      <c r="D603" s="26"/>
      <c r="E603" s="5"/>
      <c r="F603" s="27"/>
      <c r="G603" s="28"/>
    </row>
    <row r="604">
      <c r="D604" s="26"/>
      <c r="E604" s="5"/>
      <c r="F604" s="27"/>
      <c r="G604" s="28"/>
    </row>
    <row r="605">
      <c r="D605" s="26"/>
      <c r="E605" s="5"/>
      <c r="F605" s="27"/>
      <c r="G605" s="28"/>
    </row>
    <row r="606">
      <c r="D606" s="26"/>
      <c r="E606" s="5"/>
      <c r="F606" s="27"/>
      <c r="G606" s="28"/>
    </row>
    <row r="607">
      <c r="D607" s="26"/>
      <c r="E607" s="5"/>
      <c r="F607" s="27"/>
      <c r="G607" s="28"/>
    </row>
    <row r="608">
      <c r="D608" s="26"/>
      <c r="E608" s="5"/>
      <c r="F608" s="27"/>
      <c r="G608" s="28"/>
    </row>
    <row r="609">
      <c r="D609" s="26"/>
      <c r="E609" s="5"/>
      <c r="F609" s="27"/>
      <c r="G609" s="28"/>
    </row>
    <row r="610">
      <c r="D610" s="26"/>
      <c r="E610" s="5"/>
      <c r="F610" s="27"/>
      <c r="G610" s="28"/>
    </row>
    <row r="611">
      <c r="D611" s="26"/>
      <c r="E611" s="5"/>
      <c r="F611" s="27"/>
      <c r="G611" s="28"/>
    </row>
    <row r="612">
      <c r="D612" s="26"/>
      <c r="E612" s="5"/>
      <c r="F612" s="27"/>
      <c r="G612" s="28"/>
    </row>
    <row r="613">
      <c r="D613" s="26"/>
      <c r="E613" s="5"/>
      <c r="F613" s="27"/>
      <c r="G613" s="28"/>
    </row>
    <row r="614">
      <c r="D614" s="26"/>
      <c r="E614" s="5"/>
      <c r="F614" s="27"/>
      <c r="G614" s="28"/>
    </row>
    <row r="615">
      <c r="D615" s="26"/>
      <c r="E615" s="5"/>
      <c r="F615" s="27"/>
      <c r="G615" s="28"/>
    </row>
    <row r="616">
      <c r="D616" s="26"/>
      <c r="E616" s="5"/>
      <c r="F616" s="27"/>
      <c r="G616" s="28"/>
    </row>
    <row r="617">
      <c r="D617" s="26"/>
      <c r="E617" s="5"/>
      <c r="F617" s="27"/>
      <c r="G617" s="28"/>
    </row>
    <row r="618">
      <c r="D618" s="26"/>
      <c r="E618" s="5"/>
      <c r="F618" s="27"/>
      <c r="G618" s="28"/>
    </row>
    <row r="619">
      <c r="D619" s="26"/>
      <c r="E619" s="5"/>
      <c r="F619" s="27"/>
      <c r="G619" s="28"/>
    </row>
    <row r="620">
      <c r="D620" s="26"/>
      <c r="E620" s="5"/>
      <c r="F620" s="27"/>
      <c r="G620" s="28"/>
    </row>
    <row r="621">
      <c r="D621" s="26"/>
      <c r="E621" s="5"/>
      <c r="F621" s="27"/>
      <c r="G621" s="28"/>
    </row>
    <row r="622">
      <c r="D622" s="26"/>
      <c r="E622" s="5"/>
      <c r="F622" s="27"/>
      <c r="G622" s="28"/>
    </row>
    <row r="623">
      <c r="D623" s="26"/>
      <c r="E623" s="5"/>
      <c r="F623" s="27"/>
      <c r="G623" s="28"/>
    </row>
    <row r="624">
      <c r="D624" s="26"/>
      <c r="E624" s="5"/>
      <c r="F624" s="27"/>
      <c r="G624" s="28"/>
    </row>
    <row r="625">
      <c r="D625" s="26"/>
      <c r="E625" s="5"/>
      <c r="F625" s="27"/>
      <c r="G625" s="28"/>
    </row>
    <row r="626">
      <c r="D626" s="26"/>
      <c r="E626" s="5"/>
      <c r="F626" s="27"/>
      <c r="G626" s="28"/>
    </row>
    <row r="627">
      <c r="D627" s="26"/>
      <c r="E627" s="5"/>
      <c r="F627" s="27"/>
      <c r="G627" s="28"/>
    </row>
    <row r="628">
      <c r="D628" s="26"/>
      <c r="E628" s="5"/>
      <c r="F628" s="27"/>
      <c r="G628" s="28"/>
    </row>
    <row r="629">
      <c r="D629" s="26"/>
      <c r="E629" s="5"/>
      <c r="F629" s="27"/>
      <c r="G629" s="28"/>
    </row>
    <row r="630">
      <c r="D630" s="26"/>
      <c r="E630" s="5"/>
      <c r="F630" s="27"/>
      <c r="G630" s="28"/>
    </row>
    <row r="631">
      <c r="D631" s="26"/>
      <c r="E631" s="5"/>
      <c r="F631" s="27"/>
      <c r="G631" s="28"/>
    </row>
    <row r="632">
      <c r="D632" s="26"/>
      <c r="E632" s="5"/>
      <c r="F632" s="27"/>
      <c r="G632" s="28"/>
    </row>
    <row r="633">
      <c r="D633" s="26"/>
      <c r="E633" s="5"/>
      <c r="F633" s="27"/>
      <c r="G633" s="28"/>
    </row>
    <row r="634">
      <c r="D634" s="26"/>
      <c r="E634" s="5"/>
      <c r="F634" s="27"/>
      <c r="G634" s="28"/>
    </row>
    <row r="635">
      <c r="D635" s="26"/>
      <c r="E635" s="5"/>
      <c r="F635" s="27"/>
      <c r="G635" s="28"/>
    </row>
    <row r="636">
      <c r="D636" s="26"/>
      <c r="E636" s="5"/>
      <c r="F636" s="27"/>
      <c r="G636" s="28"/>
    </row>
    <row r="637">
      <c r="D637" s="26"/>
      <c r="E637" s="5"/>
      <c r="F637" s="27"/>
      <c r="G637" s="28"/>
    </row>
    <row r="638">
      <c r="D638" s="26"/>
      <c r="E638" s="5"/>
      <c r="F638" s="27"/>
      <c r="G638" s="28"/>
    </row>
    <row r="639">
      <c r="D639" s="26"/>
      <c r="E639" s="5"/>
      <c r="F639" s="27"/>
      <c r="G639" s="28"/>
    </row>
    <row r="640">
      <c r="D640" s="26"/>
      <c r="E640" s="5"/>
      <c r="F640" s="27"/>
      <c r="G640" s="28"/>
    </row>
    <row r="641">
      <c r="D641" s="26"/>
      <c r="E641" s="5"/>
      <c r="F641" s="27"/>
      <c r="G641" s="28"/>
    </row>
    <row r="642">
      <c r="D642" s="26"/>
      <c r="E642" s="5"/>
      <c r="F642" s="27"/>
      <c r="G642" s="28"/>
    </row>
    <row r="643">
      <c r="D643" s="26"/>
      <c r="E643" s="5"/>
      <c r="F643" s="27"/>
      <c r="G643" s="28"/>
    </row>
    <row r="644">
      <c r="D644" s="26"/>
      <c r="E644" s="5"/>
      <c r="F644" s="27"/>
      <c r="G644" s="28"/>
    </row>
    <row r="645">
      <c r="D645" s="26"/>
      <c r="E645" s="5"/>
      <c r="F645" s="27"/>
      <c r="G645" s="28"/>
    </row>
    <row r="646">
      <c r="D646" s="26"/>
      <c r="E646" s="5"/>
      <c r="F646" s="27"/>
      <c r="G646" s="28"/>
    </row>
    <row r="647">
      <c r="D647" s="26"/>
      <c r="E647" s="5"/>
      <c r="F647" s="27"/>
      <c r="G647" s="28"/>
    </row>
    <row r="648">
      <c r="D648" s="26"/>
      <c r="E648" s="5"/>
      <c r="F648" s="27"/>
      <c r="G648" s="28"/>
    </row>
    <row r="649">
      <c r="D649" s="26"/>
      <c r="E649" s="5"/>
      <c r="F649" s="27"/>
      <c r="G649" s="28"/>
    </row>
    <row r="650">
      <c r="D650" s="26"/>
      <c r="E650" s="5"/>
      <c r="F650" s="27"/>
      <c r="G650" s="28"/>
    </row>
    <row r="651">
      <c r="D651" s="26"/>
      <c r="E651" s="5"/>
      <c r="F651" s="27"/>
      <c r="G651" s="28"/>
    </row>
    <row r="652">
      <c r="D652" s="26"/>
      <c r="E652" s="5"/>
      <c r="F652" s="27"/>
      <c r="G652" s="28"/>
    </row>
    <row r="653">
      <c r="D653" s="26"/>
      <c r="E653" s="5"/>
      <c r="F653" s="27"/>
      <c r="G653" s="28"/>
    </row>
    <row r="654">
      <c r="D654" s="26"/>
      <c r="E654" s="5"/>
      <c r="F654" s="27"/>
      <c r="G654" s="28"/>
    </row>
    <row r="655">
      <c r="D655" s="26"/>
      <c r="E655" s="5"/>
      <c r="F655" s="27"/>
      <c r="G655" s="28"/>
    </row>
    <row r="656">
      <c r="D656" s="26"/>
      <c r="E656" s="5"/>
      <c r="F656" s="27"/>
      <c r="G656" s="28"/>
    </row>
    <row r="657">
      <c r="D657" s="26"/>
      <c r="E657" s="5"/>
      <c r="F657" s="27"/>
      <c r="G657" s="28"/>
    </row>
    <row r="658">
      <c r="D658" s="26"/>
      <c r="E658" s="5"/>
      <c r="F658" s="27"/>
      <c r="G658" s="28"/>
    </row>
    <row r="659">
      <c r="D659" s="26"/>
      <c r="E659" s="5"/>
      <c r="F659" s="27"/>
      <c r="G659" s="28"/>
    </row>
    <row r="660">
      <c r="D660" s="26"/>
      <c r="E660" s="5"/>
      <c r="F660" s="27"/>
      <c r="G660" s="28"/>
    </row>
    <row r="661">
      <c r="D661" s="26"/>
      <c r="E661" s="5"/>
      <c r="F661" s="27"/>
      <c r="G661" s="28"/>
    </row>
    <row r="662">
      <c r="D662" s="26"/>
      <c r="E662" s="5"/>
      <c r="F662" s="27"/>
      <c r="G662" s="28"/>
    </row>
    <row r="663">
      <c r="D663" s="26"/>
      <c r="E663" s="5"/>
      <c r="F663" s="27"/>
      <c r="G663" s="28"/>
    </row>
    <row r="664">
      <c r="D664" s="26"/>
      <c r="E664" s="5"/>
      <c r="F664" s="27"/>
      <c r="G664" s="28"/>
    </row>
    <row r="665">
      <c r="D665" s="26"/>
      <c r="E665" s="5"/>
      <c r="F665" s="27"/>
      <c r="G665" s="28"/>
    </row>
    <row r="666">
      <c r="D666" s="26"/>
      <c r="E666" s="5"/>
      <c r="F666" s="27"/>
      <c r="G666" s="28"/>
    </row>
    <row r="667">
      <c r="D667" s="26"/>
      <c r="E667" s="5"/>
      <c r="F667" s="27"/>
      <c r="G667" s="28"/>
    </row>
    <row r="668">
      <c r="D668" s="26"/>
      <c r="E668" s="5"/>
      <c r="F668" s="27"/>
      <c r="G668" s="28"/>
    </row>
    <row r="669">
      <c r="D669" s="26"/>
      <c r="E669" s="5"/>
      <c r="F669" s="27"/>
      <c r="G669" s="28"/>
    </row>
    <row r="670">
      <c r="D670" s="26"/>
      <c r="E670" s="5"/>
      <c r="F670" s="27"/>
      <c r="G670" s="28"/>
    </row>
    <row r="671">
      <c r="D671" s="26"/>
      <c r="E671" s="5"/>
      <c r="F671" s="27"/>
      <c r="G671" s="28"/>
    </row>
    <row r="672">
      <c r="D672" s="26"/>
      <c r="E672" s="5"/>
      <c r="F672" s="27"/>
      <c r="G672" s="28"/>
    </row>
    <row r="673">
      <c r="D673" s="26"/>
      <c r="E673" s="5"/>
      <c r="F673" s="27"/>
      <c r="G673" s="28"/>
    </row>
    <row r="674">
      <c r="D674" s="26"/>
      <c r="E674" s="5"/>
      <c r="F674" s="27"/>
      <c r="G674" s="28"/>
    </row>
    <row r="675">
      <c r="D675" s="26"/>
      <c r="E675" s="5"/>
      <c r="F675" s="27"/>
      <c r="G675" s="28"/>
    </row>
    <row r="676">
      <c r="D676" s="26"/>
      <c r="E676" s="5"/>
      <c r="F676" s="27"/>
      <c r="G676" s="28"/>
    </row>
    <row r="677">
      <c r="D677" s="26"/>
      <c r="E677" s="5"/>
      <c r="F677" s="27"/>
      <c r="G677" s="28"/>
    </row>
    <row r="678">
      <c r="D678" s="26"/>
      <c r="E678" s="5"/>
      <c r="F678" s="27"/>
      <c r="G678" s="28"/>
    </row>
    <row r="679">
      <c r="D679" s="26"/>
      <c r="E679" s="5"/>
      <c r="F679" s="27"/>
      <c r="G679" s="28"/>
    </row>
    <row r="680">
      <c r="D680" s="26"/>
      <c r="E680" s="5"/>
      <c r="F680" s="27"/>
      <c r="G680" s="28"/>
    </row>
    <row r="681">
      <c r="D681" s="26"/>
      <c r="E681" s="5"/>
      <c r="F681" s="27"/>
      <c r="G681" s="28"/>
    </row>
    <row r="682">
      <c r="D682" s="26"/>
      <c r="E682" s="5"/>
      <c r="F682" s="27"/>
      <c r="G682" s="28"/>
    </row>
    <row r="683">
      <c r="D683" s="26"/>
      <c r="E683" s="5"/>
      <c r="F683" s="27"/>
      <c r="G683" s="28"/>
    </row>
    <row r="684">
      <c r="D684" s="26"/>
      <c r="E684" s="5"/>
      <c r="F684" s="27"/>
      <c r="G684" s="28"/>
    </row>
    <row r="685">
      <c r="D685" s="26"/>
      <c r="E685" s="5"/>
      <c r="F685" s="27"/>
      <c r="G685" s="28"/>
    </row>
    <row r="686">
      <c r="D686" s="26"/>
      <c r="E686" s="5"/>
      <c r="F686" s="27"/>
      <c r="G686" s="28"/>
    </row>
    <row r="687">
      <c r="D687" s="26"/>
      <c r="E687" s="5"/>
      <c r="F687" s="27"/>
      <c r="G687" s="28"/>
    </row>
    <row r="688">
      <c r="D688" s="26"/>
      <c r="E688" s="5"/>
      <c r="F688" s="27"/>
      <c r="G688" s="28"/>
    </row>
    <row r="689">
      <c r="D689" s="26"/>
      <c r="E689" s="5"/>
      <c r="F689" s="27"/>
      <c r="G689" s="28"/>
    </row>
    <row r="690">
      <c r="D690" s="26"/>
      <c r="E690" s="5"/>
      <c r="F690" s="27"/>
      <c r="G690" s="28"/>
    </row>
    <row r="691">
      <c r="D691" s="26"/>
      <c r="E691" s="5"/>
      <c r="F691" s="27"/>
      <c r="G691" s="28"/>
    </row>
    <row r="692">
      <c r="D692" s="26"/>
      <c r="E692" s="5"/>
      <c r="F692" s="27"/>
      <c r="G692" s="28"/>
    </row>
    <row r="693">
      <c r="D693" s="26"/>
      <c r="E693" s="5"/>
      <c r="F693" s="27"/>
      <c r="G693" s="28"/>
    </row>
    <row r="694">
      <c r="D694" s="26"/>
      <c r="E694" s="5"/>
      <c r="F694" s="27"/>
      <c r="G694" s="28"/>
    </row>
    <row r="695">
      <c r="D695" s="26"/>
      <c r="E695" s="5"/>
      <c r="F695" s="27"/>
      <c r="G695" s="28"/>
    </row>
    <row r="696">
      <c r="D696" s="26"/>
      <c r="E696" s="5"/>
      <c r="F696" s="27"/>
      <c r="G696" s="28"/>
    </row>
    <row r="697">
      <c r="D697" s="26"/>
      <c r="E697" s="5"/>
      <c r="F697" s="27"/>
      <c r="G697" s="28"/>
    </row>
    <row r="698">
      <c r="D698" s="26"/>
      <c r="E698" s="5"/>
      <c r="F698" s="27"/>
      <c r="G698" s="28"/>
    </row>
    <row r="699">
      <c r="D699" s="26"/>
      <c r="E699" s="5"/>
      <c r="F699" s="27"/>
      <c r="G699" s="28"/>
    </row>
    <row r="700">
      <c r="D700" s="26"/>
      <c r="E700" s="5"/>
      <c r="F700" s="27"/>
      <c r="G700" s="28"/>
    </row>
    <row r="701">
      <c r="D701" s="26"/>
      <c r="E701" s="5"/>
      <c r="F701" s="27"/>
      <c r="G701" s="28"/>
    </row>
    <row r="702">
      <c r="D702" s="26"/>
      <c r="E702" s="5"/>
      <c r="F702" s="27"/>
      <c r="G702" s="28"/>
    </row>
    <row r="703">
      <c r="D703" s="26"/>
      <c r="E703" s="5"/>
      <c r="F703" s="27"/>
      <c r="G703" s="28"/>
    </row>
    <row r="704">
      <c r="D704" s="26"/>
      <c r="E704" s="5"/>
      <c r="F704" s="27"/>
      <c r="G704" s="28"/>
    </row>
    <row r="705">
      <c r="D705" s="26"/>
      <c r="E705" s="5"/>
      <c r="F705" s="27"/>
      <c r="G705" s="28"/>
    </row>
    <row r="706">
      <c r="D706" s="26"/>
      <c r="E706" s="5"/>
      <c r="F706" s="27"/>
      <c r="G706" s="28"/>
    </row>
    <row r="707">
      <c r="D707" s="26"/>
      <c r="E707" s="5"/>
      <c r="F707" s="27"/>
      <c r="G707" s="28"/>
    </row>
    <row r="708">
      <c r="D708" s="26"/>
      <c r="E708" s="5"/>
      <c r="F708" s="27"/>
      <c r="G708" s="28"/>
    </row>
    <row r="709">
      <c r="D709" s="26"/>
      <c r="E709" s="5"/>
      <c r="F709" s="27"/>
      <c r="G709" s="28"/>
    </row>
    <row r="710">
      <c r="D710" s="26"/>
      <c r="E710" s="5"/>
      <c r="F710" s="27"/>
      <c r="G710" s="28"/>
    </row>
    <row r="711">
      <c r="D711" s="26"/>
      <c r="E711" s="5"/>
      <c r="F711" s="27"/>
      <c r="G711" s="28"/>
    </row>
    <row r="712">
      <c r="D712" s="26"/>
      <c r="E712" s="5"/>
      <c r="F712" s="27"/>
      <c r="G712" s="28"/>
    </row>
    <row r="713">
      <c r="D713" s="26"/>
      <c r="E713" s="5"/>
      <c r="F713" s="27"/>
      <c r="G713" s="28"/>
    </row>
    <row r="714">
      <c r="D714" s="26"/>
      <c r="E714" s="5"/>
      <c r="F714" s="27"/>
      <c r="G714" s="28"/>
    </row>
    <row r="715">
      <c r="D715" s="26"/>
      <c r="E715" s="5"/>
      <c r="F715" s="27"/>
      <c r="G715" s="28"/>
    </row>
    <row r="716">
      <c r="D716" s="26"/>
      <c r="E716" s="5"/>
      <c r="F716" s="27"/>
      <c r="G716" s="28"/>
    </row>
    <row r="717">
      <c r="D717" s="26"/>
      <c r="E717" s="5"/>
      <c r="F717" s="27"/>
      <c r="G717" s="28"/>
    </row>
    <row r="718">
      <c r="D718" s="26"/>
      <c r="E718" s="5"/>
      <c r="F718" s="27"/>
      <c r="G718" s="28"/>
    </row>
    <row r="719">
      <c r="D719" s="26"/>
      <c r="E719" s="5"/>
      <c r="F719" s="27"/>
      <c r="G719" s="28"/>
    </row>
    <row r="720">
      <c r="D720" s="26"/>
      <c r="E720" s="5"/>
      <c r="F720" s="27"/>
      <c r="G720" s="28"/>
    </row>
    <row r="721">
      <c r="D721" s="26"/>
      <c r="E721" s="5"/>
      <c r="F721" s="27"/>
      <c r="G721" s="28"/>
    </row>
    <row r="722">
      <c r="D722" s="26"/>
      <c r="E722" s="5"/>
      <c r="F722" s="27"/>
      <c r="G722" s="28"/>
    </row>
    <row r="723">
      <c r="D723" s="26"/>
      <c r="E723" s="5"/>
      <c r="F723" s="27"/>
      <c r="G723" s="28"/>
    </row>
    <row r="724">
      <c r="D724" s="26"/>
      <c r="E724" s="5"/>
      <c r="F724" s="27"/>
      <c r="G724" s="28"/>
    </row>
    <row r="725">
      <c r="D725" s="26"/>
      <c r="E725" s="5"/>
      <c r="F725" s="27"/>
      <c r="G725" s="28"/>
    </row>
    <row r="726">
      <c r="D726" s="26"/>
      <c r="E726" s="5"/>
      <c r="F726" s="27"/>
      <c r="G726" s="28"/>
    </row>
    <row r="727">
      <c r="D727" s="26"/>
      <c r="E727" s="5"/>
      <c r="F727" s="27"/>
      <c r="G727" s="28"/>
    </row>
    <row r="728">
      <c r="D728" s="26"/>
      <c r="E728" s="5"/>
      <c r="F728" s="27"/>
      <c r="G728" s="28"/>
    </row>
    <row r="729">
      <c r="D729" s="26"/>
      <c r="E729" s="5"/>
      <c r="F729" s="27"/>
      <c r="G729" s="28"/>
    </row>
    <row r="730">
      <c r="D730" s="26"/>
      <c r="E730" s="5"/>
      <c r="F730" s="27"/>
      <c r="G730" s="28"/>
    </row>
    <row r="731">
      <c r="D731" s="26"/>
      <c r="E731" s="5"/>
      <c r="F731" s="27"/>
      <c r="G731" s="28"/>
    </row>
    <row r="732">
      <c r="D732" s="26"/>
      <c r="E732" s="5"/>
      <c r="F732" s="27"/>
      <c r="G732" s="28"/>
    </row>
    <row r="733">
      <c r="D733" s="26"/>
      <c r="E733" s="5"/>
      <c r="F733" s="27"/>
      <c r="G733" s="28"/>
    </row>
    <row r="734">
      <c r="D734" s="26"/>
      <c r="E734" s="5"/>
      <c r="F734" s="27"/>
      <c r="G734" s="28"/>
    </row>
    <row r="735">
      <c r="D735" s="26"/>
      <c r="E735" s="5"/>
      <c r="F735" s="27"/>
      <c r="G735" s="28"/>
    </row>
    <row r="736">
      <c r="D736" s="26"/>
      <c r="E736" s="5"/>
      <c r="F736" s="27"/>
      <c r="G736" s="28"/>
    </row>
    <row r="737">
      <c r="D737" s="26"/>
      <c r="E737" s="5"/>
      <c r="F737" s="27"/>
      <c r="G737" s="28"/>
    </row>
    <row r="738">
      <c r="D738" s="26"/>
      <c r="E738" s="5"/>
      <c r="F738" s="27"/>
      <c r="G738" s="28"/>
    </row>
    <row r="739">
      <c r="D739" s="26"/>
      <c r="E739" s="5"/>
      <c r="F739" s="27"/>
      <c r="G739" s="28"/>
    </row>
    <row r="740">
      <c r="D740" s="26"/>
      <c r="E740" s="5"/>
      <c r="F740" s="27"/>
      <c r="G740" s="28"/>
    </row>
    <row r="741">
      <c r="D741" s="26"/>
      <c r="E741" s="5"/>
      <c r="F741" s="27"/>
      <c r="G741" s="28"/>
    </row>
    <row r="742">
      <c r="D742" s="26"/>
      <c r="E742" s="5"/>
      <c r="F742" s="27"/>
      <c r="G742" s="28"/>
    </row>
    <row r="743">
      <c r="D743" s="26"/>
      <c r="E743" s="5"/>
      <c r="F743" s="27"/>
      <c r="G743" s="28"/>
    </row>
    <row r="744">
      <c r="D744" s="26"/>
      <c r="E744" s="5"/>
      <c r="F744" s="27"/>
      <c r="G744" s="28"/>
    </row>
    <row r="745">
      <c r="D745" s="26"/>
      <c r="E745" s="5"/>
      <c r="F745" s="27"/>
      <c r="G745" s="28"/>
    </row>
    <row r="746">
      <c r="D746" s="26"/>
      <c r="E746" s="5"/>
      <c r="F746" s="27"/>
      <c r="G746" s="28"/>
    </row>
    <row r="747">
      <c r="D747" s="26"/>
      <c r="E747" s="5"/>
      <c r="F747" s="27"/>
      <c r="G747" s="28"/>
    </row>
    <row r="748">
      <c r="D748" s="26"/>
      <c r="E748" s="5"/>
      <c r="F748" s="27"/>
      <c r="G748" s="28"/>
    </row>
    <row r="749">
      <c r="D749" s="26"/>
      <c r="E749" s="5"/>
      <c r="F749" s="27"/>
      <c r="G749" s="28"/>
    </row>
    <row r="750">
      <c r="D750" s="26"/>
      <c r="E750" s="5"/>
      <c r="F750" s="27"/>
      <c r="G750" s="28"/>
    </row>
    <row r="751">
      <c r="D751" s="26"/>
      <c r="E751" s="5"/>
      <c r="F751" s="27"/>
      <c r="G751" s="28"/>
    </row>
    <row r="752">
      <c r="D752" s="26"/>
      <c r="E752" s="5"/>
      <c r="F752" s="27"/>
      <c r="G752" s="28"/>
    </row>
    <row r="753">
      <c r="D753" s="26"/>
      <c r="E753" s="5"/>
      <c r="F753" s="27"/>
      <c r="G753" s="28"/>
    </row>
    <row r="754">
      <c r="D754" s="26"/>
      <c r="E754" s="5"/>
      <c r="F754" s="27"/>
      <c r="G754" s="28"/>
    </row>
    <row r="755">
      <c r="D755" s="26"/>
      <c r="E755" s="5"/>
      <c r="F755" s="27"/>
      <c r="G755" s="28"/>
    </row>
    <row r="756">
      <c r="D756" s="26"/>
      <c r="E756" s="5"/>
      <c r="F756" s="27"/>
      <c r="G756" s="28"/>
    </row>
    <row r="757">
      <c r="D757" s="26"/>
      <c r="E757" s="5"/>
      <c r="F757" s="27"/>
      <c r="G757" s="28"/>
    </row>
    <row r="758">
      <c r="D758" s="26"/>
      <c r="E758" s="5"/>
      <c r="F758" s="27"/>
      <c r="G758" s="28"/>
    </row>
    <row r="759">
      <c r="D759" s="26"/>
      <c r="E759" s="5"/>
      <c r="F759" s="27"/>
      <c r="G759" s="28"/>
    </row>
    <row r="760">
      <c r="D760" s="26"/>
      <c r="E760" s="5"/>
      <c r="F760" s="27"/>
      <c r="G760" s="28"/>
    </row>
    <row r="761">
      <c r="D761" s="26"/>
      <c r="E761" s="5"/>
      <c r="F761" s="27"/>
      <c r="G761" s="28"/>
    </row>
    <row r="762">
      <c r="D762" s="26"/>
      <c r="E762" s="5"/>
      <c r="F762" s="27"/>
      <c r="G762" s="28"/>
    </row>
    <row r="763">
      <c r="D763" s="26"/>
      <c r="E763" s="5"/>
      <c r="F763" s="27"/>
      <c r="G763" s="28"/>
    </row>
    <row r="764">
      <c r="D764" s="26"/>
      <c r="E764" s="5"/>
      <c r="F764" s="27"/>
      <c r="G764" s="28"/>
    </row>
    <row r="765">
      <c r="D765" s="26"/>
      <c r="E765" s="5"/>
      <c r="F765" s="27"/>
      <c r="G765" s="28"/>
    </row>
    <row r="766">
      <c r="D766" s="26"/>
      <c r="E766" s="5"/>
      <c r="F766" s="27"/>
      <c r="G766" s="28"/>
    </row>
    <row r="767">
      <c r="D767" s="26"/>
      <c r="E767" s="5"/>
      <c r="F767" s="27"/>
      <c r="G767" s="28"/>
    </row>
    <row r="768">
      <c r="D768" s="26"/>
      <c r="E768" s="5"/>
      <c r="F768" s="27"/>
      <c r="G768" s="28"/>
    </row>
    <row r="769">
      <c r="D769" s="26"/>
      <c r="E769" s="5"/>
      <c r="F769" s="27"/>
      <c r="G769" s="28"/>
    </row>
    <row r="770">
      <c r="D770" s="26"/>
      <c r="E770" s="5"/>
      <c r="F770" s="27"/>
      <c r="G770" s="28"/>
    </row>
    <row r="771">
      <c r="D771" s="26"/>
      <c r="E771" s="5"/>
      <c r="F771" s="27"/>
      <c r="G771" s="28"/>
    </row>
    <row r="772">
      <c r="D772" s="26"/>
      <c r="E772" s="5"/>
      <c r="F772" s="27"/>
      <c r="G772" s="28"/>
    </row>
    <row r="773">
      <c r="D773" s="26"/>
      <c r="E773" s="5"/>
      <c r="F773" s="27"/>
      <c r="G773" s="28"/>
    </row>
    <row r="774">
      <c r="D774" s="26"/>
      <c r="E774" s="5"/>
      <c r="F774" s="27"/>
      <c r="G774" s="28"/>
    </row>
    <row r="775">
      <c r="D775" s="26"/>
      <c r="E775" s="5"/>
      <c r="F775" s="27"/>
      <c r="G775" s="28"/>
    </row>
    <row r="776">
      <c r="D776" s="26"/>
      <c r="E776" s="5"/>
      <c r="F776" s="27"/>
      <c r="G776" s="28"/>
    </row>
    <row r="777">
      <c r="D777" s="26"/>
      <c r="E777" s="5"/>
      <c r="F777" s="27"/>
      <c r="G777" s="28"/>
    </row>
    <row r="778">
      <c r="D778" s="26"/>
      <c r="E778" s="5"/>
      <c r="F778" s="27"/>
      <c r="G778" s="28"/>
    </row>
    <row r="779">
      <c r="D779" s="26"/>
      <c r="E779" s="5"/>
      <c r="F779" s="27"/>
      <c r="G779" s="28"/>
    </row>
    <row r="780">
      <c r="D780" s="26"/>
      <c r="E780" s="5"/>
      <c r="F780" s="27"/>
      <c r="G780" s="28"/>
    </row>
    <row r="781">
      <c r="D781" s="26"/>
      <c r="E781" s="5"/>
      <c r="F781" s="27"/>
      <c r="G781" s="28"/>
    </row>
    <row r="782">
      <c r="D782" s="26"/>
      <c r="E782" s="5"/>
      <c r="F782" s="27"/>
      <c r="G782" s="28"/>
    </row>
    <row r="783">
      <c r="D783" s="26"/>
      <c r="E783" s="5"/>
      <c r="F783" s="27"/>
      <c r="G783" s="28"/>
    </row>
    <row r="784">
      <c r="D784" s="26"/>
      <c r="E784" s="5"/>
      <c r="F784" s="27"/>
      <c r="G784" s="28"/>
    </row>
    <row r="785">
      <c r="D785" s="26"/>
      <c r="E785" s="5"/>
      <c r="F785" s="27"/>
      <c r="G785" s="28"/>
    </row>
    <row r="786">
      <c r="D786" s="26"/>
      <c r="E786" s="5"/>
      <c r="F786" s="27"/>
      <c r="G786" s="28"/>
    </row>
    <row r="787">
      <c r="D787" s="26"/>
      <c r="E787" s="5"/>
      <c r="F787" s="27"/>
      <c r="G787" s="28"/>
    </row>
    <row r="788">
      <c r="D788" s="26"/>
      <c r="E788" s="5"/>
      <c r="F788" s="27"/>
      <c r="G788" s="28"/>
    </row>
    <row r="789">
      <c r="D789" s="26"/>
      <c r="E789" s="5"/>
      <c r="F789" s="27"/>
      <c r="G789" s="28"/>
    </row>
    <row r="790">
      <c r="D790" s="26"/>
      <c r="E790" s="5"/>
      <c r="F790" s="27"/>
      <c r="G790" s="28"/>
    </row>
    <row r="791">
      <c r="D791" s="26"/>
      <c r="E791" s="5"/>
      <c r="F791" s="27"/>
      <c r="G791" s="28"/>
    </row>
    <row r="792">
      <c r="D792" s="26"/>
      <c r="E792" s="5"/>
      <c r="F792" s="27"/>
      <c r="G792" s="28"/>
    </row>
    <row r="793">
      <c r="D793" s="26"/>
      <c r="E793" s="5"/>
      <c r="F793" s="27"/>
      <c r="G793" s="28"/>
    </row>
    <row r="794">
      <c r="D794" s="26"/>
      <c r="E794" s="5"/>
      <c r="F794" s="27"/>
      <c r="G794" s="28"/>
    </row>
    <row r="795">
      <c r="D795" s="26"/>
      <c r="E795" s="5"/>
      <c r="F795" s="27"/>
      <c r="G795" s="28"/>
    </row>
    <row r="796">
      <c r="D796" s="26"/>
      <c r="E796" s="5"/>
      <c r="F796" s="27"/>
      <c r="G796" s="28"/>
    </row>
    <row r="797">
      <c r="D797" s="26"/>
      <c r="E797" s="5"/>
      <c r="F797" s="27"/>
      <c r="G797" s="28"/>
    </row>
    <row r="798">
      <c r="D798" s="26"/>
      <c r="E798" s="5"/>
      <c r="F798" s="27"/>
      <c r="G798" s="28"/>
    </row>
    <row r="799">
      <c r="D799" s="26"/>
      <c r="E799" s="5"/>
      <c r="F799" s="27"/>
      <c r="G799" s="28"/>
    </row>
    <row r="800">
      <c r="D800" s="26"/>
      <c r="E800" s="5"/>
      <c r="F800" s="27"/>
      <c r="G800" s="28"/>
    </row>
    <row r="801">
      <c r="D801" s="26"/>
      <c r="E801" s="5"/>
      <c r="F801" s="27"/>
      <c r="G801" s="28"/>
    </row>
    <row r="802">
      <c r="D802" s="26"/>
      <c r="E802" s="5"/>
      <c r="F802" s="27"/>
      <c r="G802" s="28"/>
    </row>
    <row r="803">
      <c r="D803" s="26"/>
      <c r="E803" s="5"/>
      <c r="F803" s="27"/>
      <c r="G803" s="28"/>
    </row>
    <row r="804">
      <c r="D804" s="26"/>
      <c r="E804" s="5"/>
      <c r="F804" s="27"/>
      <c r="G804" s="28"/>
    </row>
    <row r="805">
      <c r="D805" s="26"/>
      <c r="E805" s="5"/>
      <c r="F805" s="27"/>
      <c r="G805" s="28"/>
    </row>
    <row r="806">
      <c r="D806" s="26"/>
      <c r="E806" s="5"/>
      <c r="F806" s="27"/>
      <c r="G806" s="28"/>
    </row>
    <row r="807">
      <c r="D807" s="26"/>
      <c r="E807" s="5"/>
      <c r="F807" s="27"/>
      <c r="G807" s="28"/>
    </row>
    <row r="808">
      <c r="D808" s="26"/>
      <c r="E808" s="5"/>
      <c r="F808" s="27"/>
      <c r="G808" s="28"/>
    </row>
    <row r="809">
      <c r="D809" s="26"/>
      <c r="E809" s="5"/>
      <c r="F809" s="27"/>
      <c r="G809" s="28"/>
    </row>
    <row r="810">
      <c r="D810" s="26"/>
      <c r="E810" s="5"/>
      <c r="F810" s="27"/>
      <c r="G810" s="28"/>
    </row>
    <row r="811">
      <c r="D811" s="26"/>
      <c r="E811" s="5"/>
      <c r="F811" s="27"/>
      <c r="G811" s="28"/>
    </row>
    <row r="812">
      <c r="D812" s="26"/>
      <c r="E812" s="5"/>
      <c r="F812" s="27"/>
      <c r="G812" s="28"/>
    </row>
    <row r="813">
      <c r="D813" s="26"/>
      <c r="E813" s="5"/>
      <c r="F813" s="27"/>
      <c r="G813" s="28"/>
    </row>
    <row r="814">
      <c r="D814" s="26"/>
      <c r="E814" s="5"/>
      <c r="F814" s="27"/>
      <c r="G814" s="28"/>
    </row>
    <row r="815">
      <c r="D815" s="26"/>
      <c r="E815" s="5"/>
      <c r="F815" s="27"/>
      <c r="G815" s="28"/>
    </row>
    <row r="816">
      <c r="D816" s="26"/>
      <c r="E816" s="5"/>
      <c r="F816" s="27"/>
      <c r="G816" s="28"/>
    </row>
    <row r="817">
      <c r="D817" s="26"/>
      <c r="E817" s="5"/>
      <c r="F817" s="27"/>
      <c r="G817" s="28"/>
    </row>
    <row r="818">
      <c r="D818" s="26"/>
      <c r="E818" s="5"/>
      <c r="F818" s="27"/>
      <c r="G818" s="28"/>
    </row>
    <row r="819">
      <c r="D819" s="26"/>
      <c r="E819" s="5"/>
      <c r="F819" s="27"/>
      <c r="G819" s="28"/>
    </row>
    <row r="820">
      <c r="D820" s="26"/>
      <c r="E820" s="5"/>
      <c r="F820" s="27"/>
      <c r="G820" s="28"/>
    </row>
    <row r="821">
      <c r="D821" s="26"/>
      <c r="E821" s="5"/>
      <c r="F821" s="27"/>
      <c r="G821" s="28"/>
    </row>
    <row r="822">
      <c r="D822" s="26"/>
      <c r="E822" s="5"/>
      <c r="F822" s="27"/>
      <c r="G822" s="28"/>
    </row>
    <row r="823">
      <c r="D823" s="26"/>
      <c r="E823" s="5"/>
      <c r="F823" s="27"/>
      <c r="G823" s="28"/>
    </row>
    <row r="824">
      <c r="D824" s="26"/>
      <c r="E824" s="5"/>
      <c r="F824" s="27"/>
      <c r="G824" s="28"/>
    </row>
    <row r="825">
      <c r="D825" s="26"/>
      <c r="E825" s="5"/>
      <c r="F825" s="27"/>
      <c r="G825" s="28"/>
    </row>
    <row r="826">
      <c r="D826" s="26"/>
      <c r="E826" s="5"/>
      <c r="F826" s="27"/>
      <c r="G826" s="28"/>
    </row>
    <row r="827">
      <c r="D827" s="26"/>
      <c r="E827" s="5"/>
      <c r="F827" s="27"/>
      <c r="G827" s="28"/>
    </row>
    <row r="828">
      <c r="D828" s="26"/>
      <c r="E828" s="5"/>
      <c r="F828" s="27"/>
      <c r="G828" s="28"/>
    </row>
    <row r="829">
      <c r="D829" s="26"/>
      <c r="E829" s="5"/>
      <c r="F829" s="27"/>
      <c r="G829" s="28"/>
    </row>
    <row r="830">
      <c r="D830" s="26"/>
      <c r="E830" s="5"/>
      <c r="F830" s="27"/>
      <c r="G830" s="28"/>
    </row>
    <row r="831">
      <c r="D831" s="26"/>
      <c r="E831" s="5"/>
      <c r="F831" s="27"/>
      <c r="G831" s="28"/>
    </row>
    <row r="832">
      <c r="D832" s="26"/>
      <c r="E832" s="5"/>
      <c r="F832" s="27"/>
      <c r="G832" s="28"/>
    </row>
    <row r="833">
      <c r="D833" s="26"/>
      <c r="E833" s="5"/>
      <c r="F833" s="27"/>
      <c r="G833" s="28"/>
    </row>
    <row r="834">
      <c r="D834" s="26"/>
      <c r="E834" s="5"/>
      <c r="F834" s="27"/>
      <c r="G834" s="28"/>
    </row>
    <row r="835">
      <c r="D835" s="26"/>
      <c r="E835" s="5"/>
      <c r="F835" s="27"/>
      <c r="G835" s="28"/>
    </row>
    <row r="836">
      <c r="D836" s="26"/>
      <c r="E836" s="5"/>
      <c r="F836" s="27"/>
      <c r="G836" s="28"/>
    </row>
    <row r="837">
      <c r="D837" s="26"/>
      <c r="E837" s="5"/>
      <c r="F837" s="27"/>
      <c r="G837" s="28"/>
    </row>
    <row r="838">
      <c r="D838" s="26"/>
      <c r="E838" s="5"/>
      <c r="F838" s="27"/>
      <c r="G838" s="28"/>
    </row>
    <row r="839">
      <c r="D839" s="26"/>
      <c r="E839" s="5"/>
      <c r="F839" s="27"/>
      <c r="G839" s="28"/>
    </row>
    <row r="840">
      <c r="D840" s="26"/>
      <c r="E840" s="5"/>
      <c r="F840" s="27"/>
      <c r="G840" s="28"/>
    </row>
    <row r="841">
      <c r="D841" s="26"/>
      <c r="E841" s="5"/>
      <c r="F841" s="27"/>
      <c r="G841" s="28"/>
    </row>
    <row r="842">
      <c r="D842" s="26"/>
      <c r="E842" s="5"/>
      <c r="F842" s="27"/>
      <c r="G842" s="28"/>
    </row>
    <row r="843">
      <c r="D843" s="26"/>
      <c r="E843" s="5"/>
      <c r="F843" s="27"/>
      <c r="G843" s="28"/>
    </row>
    <row r="844">
      <c r="D844" s="26"/>
      <c r="E844" s="5"/>
      <c r="F844" s="27"/>
      <c r="G844" s="28"/>
    </row>
    <row r="845">
      <c r="D845" s="26"/>
      <c r="E845" s="5"/>
      <c r="F845" s="27"/>
      <c r="G845" s="28"/>
    </row>
    <row r="846">
      <c r="D846" s="26"/>
      <c r="E846" s="5"/>
      <c r="F846" s="27"/>
      <c r="G846" s="28"/>
    </row>
    <row r="847">
      <c r="D847" s="26"/>
      <c r="E847" s="5"/>
      <c r="F847" s="27"/>
      <c r="G847" s="28"/>
    </row>
    <row r="848">
      <c r="D848" s="26"/>
      <c r="E848" s="5"/>
      <c r="F848" s="27"/>
      <c r="G848" s="28"/>
    </row>
    <row r="849">
      <c r="D849" s="26"/>
      <c r="E849" s="5"/>
      <c r="F849" s="27"/>
      <c r="G849" s="28"/>
    </row>
    <row r="850">
      <c r="D850" s="26"/>
      <c r="E850" s="5"/>
      <c r="F850" s="27"/>
      <c r="G850" s="28"/>
    </row>
    <row r="851">
      <c r="D851" s="26"/>
      <c r="E851" s="5"/>
      <c r="F851" s="27"/>
      <c r="G851" s="28"/>
    </row>
    <row r="852">
      <c r="D852" s="26"/>
      <c r="E852" s="5"/>
      <c r="F852" s="27"/>
      <c r="G852" s="28"/>
    </row>
    <row r="853">
      <c r="D853" s="26"/>
      <c r="E853" s="5"/>
      <c r="F853" s="27"/>
      <c r="G853" s="28"/>
    </row>
    <row r="854">
      <c r="D854" s="26"/>
      <c r="E854" s="5"/>
      <c r="F854" s="27"/>
      <c r="G854" s="28"/>
    </row>
    <row r="855">
      <c r="D855" s="26"/>
      <c r="E855" s="5"/>
      <c r="F855" s="27"/>
      <c r="G855" s="28"/>
    </row>
    <row r="856">
      <c r="D856" s="26"/>
      <c r="E856" s="5"/>
      <c r="F856" s="27"/>
      <c r="G856" s="28"/>
    </row>
    <row r="857">
      <c r="D857" s="26"/>
      <c r="E857" s="5"/>
      <c r="F857" s="27"/>
      <c r="G857" s="28"/>
    </row>
    <row r="858">
      <c r="D858" s="26"/>
      <c r="E858" s="5"/>
      <c r="F858" s="27"/>
      <c r="G858" s="28"/>
    </row>
    <row r="859">
      <c r="D859" s="26"/>
      <c r="E859" s="5"/>
      <c r="F859" s="27"/>
      <c r="G859" s="28"/>
    </row>
    <row r="860">
      <c r="D860" s="26"/>
      <c r="E860" s="5"/>
      <c r="F860" s="27"/>
      <c r="G860" s="28"/>
    </row>
    <row r="861">
      <c r="D861" s="26"/>
      <c r="E861" s="5"/>
      <c r="F861" s="27"/>
      <c r="G861" s="28"/>
    </row>
    <row r="862">
      <c r="D862" s="26"/>
      <c r="E862" s="5"/>
      <c r="F862" s="27"/>
      <c r="G862" s="28"/>
    </row>
    <row r="863">
      <c r="D863" s="26"/>
      <c r="E863" s="5"/>
      <c r="F863" s="27"/>
      <c r="G863" s="28"/>
    </row>
    <row r="864">
      <c r="D864" s="26"/>
      <c r="E864" s="5"/>
      <c r="F864" s="27"/>
      <c r="G864" s="28"/>
    </row>
    <row r="865">
      <c r="D865" s="26"/>
      <c r="E865" s="5"/>
      <c r="F865" s="27"/>
      <c r="G865" s="28"/>
    </row>
    <row r="866">
      <c r="D866" s="26"/>
      <c r="E866" s="5"/>
      <c r="F866" s="27"/>
      <c r="G866" s="28"/>
    </row>
    <row r="867">
      <c r="D867" s="26"/>
      <c r="E867" s="5"/>
      <c r="F867" s="27"/>
      <c r="G867" s="28"/>
    </row>
    <row r="868">
      <c r="D868" s="26"/>
      <c r="E868" s="5"/>
      <c r="F868" s="27"/>
      <c r="G868" s="28"/>
    </row>
    <row r="869">
      <c r="D869" s="26"/>
      <c r="E869" s="5"/>
      <c r="F869" s="27"/>
      <c r="G869" s="28"/>
    </row>
    <row r="870">
      <c r="D870" s="26"/>
      <c r="E870" s="5"/>
      <c r="F870" s="27"/>
      <c r="G870" s="28"/>
    </row>
    <row r="871">
      <c r="D871" s="26"/>
      <c r="E871" s="5"/>
      <c r="F871" s="27"/>
      <c r="G871" s="28"/>
    </row>
    <row r="872">
      <c r="D872" s="26"/>
      <c r="E872" s="5"/>
      <c r="F872" s="27"/>
      <c r="G872" s="28"/>
    </row>
    <row r="873">
      <c r="D873" s="26"/>
      <c r="E873" s="5"/>
      <c r="F873" s="27"/>
      <c r="G873" s="28"/>
    </row>
    <row r="874">
      <c r="D874" s="26"/>
      <c r="E874" s="5"/>
      <c r="F874" s="27"/>
      <c r="G874" s="28"/>
    </row>
    <row r="875">
      <c r="D875" s="26"/>
      <c r="E875" s="5"/>
      <c r="F875" s="27"/>
      <c r="G875" s="28"/>
    </row>
    <row r="876">
      <c r="D876" s="26"/>
      <c r="E876" s="5"/>
      <c r="F876" s="27"/>
      <c r="G876" s="28"/>
    </row>
    <row r="877">
      <c r="D877" s="26"/>
      <c r="E877" s="5"/>
      <c r="F877" s="27"/>
      <c r="G877" s="28"/>
    </row>
    <row r="878">
      <c r="D878" s="26"/>
      <c r="E878" s="5"/>
      <c r="F878" s="27"/>
      <c r="G878" s="28"/>
    </row>
    <row r="879">
      <c r="D879" s="26"/>
      <c r="E879" s="5"/>
      <c r="F879" s="27"/>
      <c r="G879" s="28"/>
    </row>
    <row r="880">
      <c r="D880" s="26"/>
      <c r="E880" s="5"/>
      <c r="F880" s="27"/>
      <c r="G880" s="28"/>
    </row>
    <row r="881">
      <c r="D881" s="26"/>
      <c r="E881" s="5"/>
      <c r="F881" s="27"/>
      <c r="G881" s="28"/>
    </row>
    <row r="882">
      <c r="D882" s="26"/>
      <c r="E882" s="5"/>
      <c r="F882" s="27"/>
      <c r="G882" s="28"/>
    </row>
    <row r="883">
      <c r="D883" s="26"/>
      <c r="E883" s="5"/>
      <c r="F883" s="27"/>
      <c r="G883" s="28"/>
    </row>
    <row r="884">
      <c r="D884" s="26"/>
      <c r="E884" s="5"/>
      <c r="F884" s="27"/>
      <c r="G884" s="28"/>
    </row>
    <row r="885">
      <c r="D885" s="26"/>
      <c r="E885" s="5"/>
      <c r="F885" s="27"/>
      <c r="G885" s="28"/>
    </row>
    <row r="886">
      <c r="D886" s="26"/>
      <c r="E886" s="5"/>
      <c r="F886" s="27"/>
      <c r="G886" s="28"/>
    </row>
    <row r="887">
      <c r="D887" s="26"/>
      <c r="E887" s="5"/>
      <c r="F887" s="27"/>
      <c r="G887" s="28"/>
    </row>
    <row r="888">
      <c r="D888" s="26"/>
      <c r="E888" s="5"/>
      <c r="F888" s="27"/>
      <c r="G888" s="28"/>
    </row>
    <row r="889">
      <c r="D889" s="26"/>
      <c r="E889" s="5"/>
      <c r="F889" s="27"/>
      <c r="G889" s="28"/>
    </row>
    <row r="890">
      <c r="D890" s="26"/>
      <c r="E890" s="5"/>
      <c r="F890" s="27"/>
      <c r="G890" s="28"/>
    </row>
    <row r="891">
      <c r="D891" s="26"/>
      <c r="E891" s="5"/>
      <c r="F891" s="27"/>
      <c r="G891" s="28"/>
    </row>
    <row r="892">
      <c r="D892" s="26"/>
      <c r="E892" s="5"/>
      <c r="F892" s="27"/>
      <c r="G892" s="28"/>
    </row>
    <row r="893">
      <c r="D893" s="26"/>
      <c r="E893" s="5"/>
      <c r="F893" s="27"/>
      <c r="G893" s="28"/>
    </row>
    <row r="894">
      <c r="D894" s="26"/>
      <c r="E894" s="5"/>
      <c r="F894" s="27"/>
      <c r="G894" s="28"/>
    </row>
    <row r="895">
      <c r="D895" s="26"/>
      <c r="E895" s="5"/>
      <c r="F895" s="27"/>
      <c r="G895" s="28"/>
    </row>
    <row r="896">
      <c r="D896" s="26"/>
      <c r="E896" s="5"/>
      <c r="F896" s="27"/>
      <c r="G896" s="28"/>
    </row>
    <row r="897">
      <c r="D897" s="26"/>
      <c r="E897" s="5"/>
      <c r="F897" s="27"/>
      <c r="G897" s="28"/>
    </row>
    <row r="898">
      <c r="D898" s="26"/>
      <c r="E898" s="5"/>
      <c r="F898" s="27"/>
      <c r="G898" s="28"/>
    </row>
    <row r="899">
      <c r="D899" s="26"/>
      <c r="E899" s="5"/>
      <c r="F899" s="27"/>
      <c r="G899" s="28"/>
    </row>
    <row r="900">
      <c r="D900" s="26"/>
      <c r="E900" s="5"/>
      <c r="F900" s="27"/>
      <c r="G900" s="28"/>
    </row>
    <row r="901">
      <c r="D901" s="26"/>
      <c r="E901" s="5"/>
      <c r="F901" s="27"/>
      <c r="G901" s="28"/>
    </row>
    <row r="902">
      <c r="D902" s="26"/>
      <c r="E902" s="5"/>
      <c r="F902" s="27"/>
      <c r="G902" s="28"/>
    </row>
    <row r="903">
      <c r="D903" s="26"/>
      <c r="E903" s="5"/>
      <c r="F903" s="27"/>
      <c r="G903" s="28"/>
    </row>
    <row r="904">
      <c r="D904" s="26"/>
      <c r="E904" s="5"/>
      <c r="F904" s="27"/>
      <c r="G904" s="28"/>
    </row>
    <row r="905">
      <c r="D905" s="26"/>
      <c r="E905" s="5"/>
      <c r="F905" s="27"/>
      <c r="G905" s="28"/>
    </row>
    <row r="906">
      <c r="D906" s="26"/>
      <c r="E906" s="5"/>
      <c r="F906" s="27"/>
      <c r="G906" s="28"/>
    </row>
    <row r="907">
      <c r="D907" s="26"/>
      <c r="E907" s="5"/>
      <c r="F907" s="27"/>
      <c r="G907" s="28"/>
    </row>
    <row r="908">
      <c r="D908" s="26"/>
      <c r="E908" s="5"/>
      <c r="F908" s="27"/>
      <c r="G908" s="28"/>
    </row>
    <row r="909">
      <c r="D909" s="26"/>
      <c r="E909" s="5"/>
      <c r="F909" s="27"/>
      <c r="G909" s="28"/>
    </row>
    <row r="910">
      <c r="D910" s="26"/>
      <c r="E910" s="5"/>
      <c r="F910" s="27"/>
      <c r="G910" s="28"/>
    </row>
    <row r="911">
      <c r="D911" s="26"/>
      <c r="E911" s="5"/>
      <c r="F911" s="27"/>
      <c r="G911" s="28"/>
    </row>
    <row r="912">
      <c r="D912" s="26"/>
      <c r="E912" s="5"/>
      <c r="F912" s="27"/>
      <c r="G912" s="28"/>
    </row>
    <row r="913">
      <c r="D913" s="26"/>
      <c r="E913" s="5"/>
      <c r="F913" s="27"/>
      <c r="G913" s="28"/>
    </row>
    <row r="914">
      <c r="D914" s="26"/>
      <c r="E914" s="5"/>
      <c r="F914" s="27"/>
      <c r="G914" s="28"/>
    </row>
    <row r="915">
      <c r="D915" s="26"/>
      <c r="E915" s="5"/>
      <c r="F915" s="27"/>
      <c r="G915" s="28"/>
    </row>
    <row r="916">
      <c r="D916" s="26"/>
      <c r="E916" s="5"/>
      <c r="F916" s="27"/>
      <c r="G916" s="28"/>
    </row>
    <row r="917">
      <c r="D917" s="26"/>
      <c r="E917" s="5"/>
      <c r="F917" s="27"/>
      <c r="G917" s="28"/>
    </row>
    <row r="918">
      <c r="D918" s="26"/>
      <c r="E918" s="5"/>
      <c r="F918" s="27"/>
      <c r="G918" s="28"/>
    </row>
    <row r="919">
      <c r="D919" s="26"/>
      <c r="E919" s="5"/>
      <c r="F919" s="27"/>
      <c r="G919" s="28"/>
    </row>
    <row r="920">
      <c r="D920" s="26"/>
      <c r="E920" s="5"/>
      <c r="F920" s="27"/>
      <c r="G920" s="28"/>
    </row>
    <row r="921">
      <c r="D921" s="26"/>
      <c r="E921" s="5"/>
      <c r="F921" s="27"/>
      <c r="G921" s="28"/>
    </row>
    <row r="922">
      <c r="D922" s="26"/>
      <c r="E922" s="5"/>
      <c r="F922" s="27"/>
      <c r="G922" s="28"/>
    </row>
    <row r="923">
      <c r="D923" s="26"/>
      <c r="E923" s="5"/>
      <c r="F923" s="27"/>
      <c r="G923" s="28"/>
    </row>
    <row r="924">
      <c r="D924" s="26"/>
      <c r="E924" s="5"/>
      <c r="F924" s="27"/>
      <c r="G924" s="28"/>
    </row>
    <row r="925">
      <c r="D925" s="26"/>
      <c r="E925" s="5"/>
      <c r="F925" s="27"/>
      <c r="G925" s="28"/>
    </row>
    <row r="926">
      <c r="D926" s="26"/>
      <c r="E926" s="5"/>
      <c r="F926" s="27"/>
      <c r="G926" s="28"/>
    </row>
    <row r="927">
      <c r="D927" s="26"/>
      <c r="E927" s="5"/>
      <c r="F927" s="27"/>
      <c r="G927" s="28"/>
    </row>
    <row r="928">
      <c r="D928" s="26"/>
      <c r="E928" s="5"/>
      <c r="F928" s="27"/>
      <c r="G928" s="28"/>
    </row>
    <row r="929">
      <c r="D929" s="26"/>
      <c r="E929" s="5"/>
      <c r="F929" s="27"/>
      <c r="G929" s="28"/>
    </row>
    <row r="930">
      <c r="D930" s="26"/>
      <c r="E930" s="5"/>
      <c r="F930" s="27"/>
      <c r="G930" s="28"/>
    </row>
    <row r="931">
      <c r="D931" s="26"/>
      <c r="E931" s="5"/>
      <c r="F931" s="27"/>
      <c r="G931" s="28"/>
    </row>
    <row r="932">
      <c r="D932" s="26"/>
      <c r="E932" s="5"/>
      <c r="F932" s="27"/>
      <c r="G932" s="28"/>
    </row>
    <row r="933">
      <c r="D933" s="26"/>
      <c r="E933" s="5"/>
      <c r="F933" s="27"/>
      <c r="G933" s="28"/>
    </row>
    <row r="934">
      <c r="D934" s="26"/>
      <c r="E934" s="5"/>
      <c r="F934" s="27"/>
      <c r="G934" s="28"/>
    </row>
    <row r="935">
      <c r="D935" s="26"/>
      <c r="E935" s="5"/>
      <c r="F935" s="27"/>
      <c r="G935" s="28"/>
    </row>
    <row r="936">
      <c r="D936" s="26"/>
      <c r="E936" s="5"/>
      <c r="F936" s="27"/>
      <c r="G936" s="28"/>
    </row>
    <row r="937">
      <c r="D937" s="26"/>
      <c r="E937" s="5"/>
      <c r="F937" s="27"/>
      <c r="G937" s="28"/>
    </row>
    <row r="938">
      <c r="D938" s="26"/>
      <c r="E938" s="5"/>
      <c r="F938" s="27"/>
      <c r="G938" s="28"/>
    </row>
    <row r="939">
      <c r="D939" s="26"/>
      <c r="E939" s="5"/>
      <c r="F939" s="27"/>
      <c r="G939" s="28"/>
    </row>
    <row r="940">
      <c r="D940" s="26"/>
      <c r="E940" s="5"/>
      <c r="F940" s="27"/>
      <c r="G940" s="28"/>
    </row>
    <row r="941">
      <c r="D941" s="26"/>
      <c r="E941" s="5"/>
      <c r="F941" s="27"/>
      <c r="G941" s="28"/>
    </row>
    <row r="942">
      <c r="D942" s="26"/>
      <c r="E942" s="5"/>
      <c r="F942" s="27"/>
      <c r="G942" s="28"/>
    </row>
    <row r="943">
      <c r="D943" s="26"/>
      <c r="E943" s="5"/>
      <c r="F943" s="27"/>
      <c r="G943" s="28"/>
    </row>
    <row r="944">
      <c r="D944" s="26"/>
      <c r="E944" s="5"/>
      <c r="F944" s="27"/>
      <c r="G944" s="28"/>
    </row>
    <row r="945">
      <c r="D945" s="26"/>
      <c r="E945" s="5"/>
      <c r="F945" s="27"/>
      <c r="G945" s="28"/>
    </row>
    <row r="946">
      <c r="D946" s="26"/>
      <c r="E946" s="5"/>
      <c r="F946" s="27"/>
      <c r="G946" s="28"/>
    </row>
    <row r="947">
      <c r="D947" s="26"/>
      <c r="E947" s="5"/>
      <c r="F947" s="27"/>
      <c r="G947" s="28"/>
    </row>
    <row r="948">
      <c r="D948" s="26"/>
      <c r="E948" s="5"/>
      <c r="F948" s="27"/>
      <c r="G948" s="28"/>
    </row>
    <row r="949">
      <c r="D949" s="26"/>
      <c r="E949" s="5"/>
      <c r="F949" s="27"/>
      <c r="G949" s="28"/>
    </row>
    <row r="950">
      <c r="D950" s="26"/>
      <c r="E950" s="5"/>
      <c r="F950" s="27"/>
      <c r="G950" s="28"/>
    </row>
    <row r="951">
      <c r="D951" s="26"/>
      <c r="E951" s="5"/>
      <c r="F951" s="27"/>
      <c r="G951" s="28"/>
    </row>
    <row r="952">
      <c r="D952" s="26"/>
      <c r="E952" s="5"/>
      <c r="F952" s="27"/>
      <c r="G952" s="28"/>
    </row>
    <row r="953">
      <c r="D953" s="26"/>
      <c r="E953" s="5"/>
      <c r="F953" s="27"/>
      <c r="G953" s="28"/>
    </row>
    <row r="954">
      <c r="D954" s="26"/>
      <c r="E954" s="5"/>
      <c r="F954" s="27"/>
      <c r="G954" s="28"/>
    </row>
    <row r="955">
      <c r="D955" s="26"/>
      <c r="E955" s="5"/>
      <c r="F955" s="27"/>
      <c r="G955" s="28"/>
    </row>
    <row r="956">
      <c r="D956" s="26"/>
      <c r="E956" s="5"/>
      <c r="F956" s="27"/>
      <c r="G956" s="28"/>
    </row>
    <row r="957">
      <c r="D957" s="26"/>
      <c r="E957" s="5"/>
      <c r="F957" s="27"/>
      <c r="G957" s="28"/>
    </row>
    <row r="958">
      <c r="D958" s="26"/>
      <c r="E958" s="5"/>
      <c r="F958" s="27"/>
      <c r="G958" s="28"/>
    </row>
    <row r="959">
      <c r="D959" s="26"/>
      <c r="E959" s="5"/>
      <c r="F959" s="27"/>
      <c r="G959" s="28"/>
    </row>
    <row r="960">
      <c r="D960" s="26"/>
      <c r="E960" s="5"/>
      <c r="F960" s="27"/>
      <c r="G960" s="28"/>
    </row>
    <row r="961">
      <c r="D961" s="26"/>
      <c r="E961" s="5"/>
      <c r="F961" s="27"/>
      <c r="G961" s="28"/>
    </row>
    <row r="962">
      <c r="D962" s="26"/>
      <c r="E962" s="5"/>
      <c r="F962" s="27"/>
      <c r="G962" s="28"/>
    </row>
    <row r="963">
      <c r="D963" s="26"/>
      <c r="E963" s="5"/>
      <c r="F963" s="27"/>
      <c r="G963" s="28"/>
    </row>
    <row r="964">
      <c r="D964" s="26"/>
      <c r="E964" s="5"/>
      <c r="F964" s="27"/>
      <c r="G964" s="28"/>
    </row>
    <row r="965">
      <c r="D965" s="26"/>
      <c r="E965" s="5"/>
      <c r="F965" s="27"/>
      <c r="G965" s="28"/>
    </row>
    <row r="966">
      <c r="D966" s="26"/>
      <c r="E966" s="5"/>
      <c r="F966" s="27"/>
      <c r="G966" s="28"/>
    </row>
    <row r="967">
      <c r="D967" s="26"/>
      <c r="E967" s="5"/>
      <c r="F967" s="27"/>
      <c r="G967" s="28"/>
    </row>
    <row r="968">
      <c r="D968" s="26"/>
      <c r="E968" s="5"/>
      <c r="F968" s="27"/>
      <c r="G968" s="28"/>
    </row>
    <row r="969">
      <c r="D969" s="26"/>
      <c r="E969" s="5"/>
      <c r="F969" s="27"/>
      <c r="G969" s="28"/>
    </row>
    <row r="970">
      <c r="D970" s="26"/>
      <c r="E970" s="5"/>
      <c r="F970" s="27"/>
      <c r="G970" s="28"/>
    </row>
    <row r="971">
      <c r="D971" s="26"/>
      <c r="E971" s="5"/>
      <c r="F971" s="27"/>
      <c r="G971" s="28"/>
    </row>
    <row r="972">
      <c r="D972" s="26"/>
      <c r="E972" s="5"/>
      <c r="F972" s="27"/>
      <c r="G972" s="28"/>
    </row>
    <row r="973">
      <c r="D973" s="26"/>
      <c r="E973" s="5"/>
      <c r="F973" s="27"/>
      <c r="G973" s="28"/>
    </row>
    <row r="974">
      <c r="D974" s="26"/>
      <c r="E974" s="5"/>
      <c r="F974" s="27"/>
      <c r="G974" s="28"/>
    </row>
    <row r="975">
      <c r="D975" s="26"/>
      <c r="E975" s="5"/>
      <c r="F975" s="27"/>
      <c r="G975" s="28"/>
    </row>
    <row r="976">
      <c r="D976" s="26"/>
      <c r="E976" s="5"/>
      <c r="F976" s="27"/>
      <c r="G976" s="28"/>
    </row>
    <row r="977">
      <c r="D977" s="26"/>
      <c r="E977" s="5"/>
      <c r="F977" s="27"/>
      <c r="G977" s="28"/>
    </row>
    <row r="978">
      <c r="D978" s="26"/>
      <c r="E978" s="5"/>
      <c r="F978" s="27"/>
      <c r="G978" s="28"/>
    </row>
    <row r="979">
      <c r="D979" s="26"/>
      <c r="E979" s="5"/>
      <c r="F979" s="27"/>
      <c r="G979" s="28"/>
    </row>
    <row r="980">
      <c r="D980" s="26"/>
      <c r="E980" s="5"/>
      <c r="F980" s="27"/>
      <c r="G980" s="28"/>
    </row>
    <row r="981">
      <c r="D981" s="26"/>
      <c r="E981" s="5"/>
      <c r="F981" s="27"/>
      <c r="G981" s="28"/>
    </row>
    <row r="982">
      <c r="D982" s="26"/>
      <c r="E982" s="5"/>
      <c r="F982" s="27"/>
      <c r="G982" s="28"/>
    </row>
    <row r="983">
      <c r="D983" s="26"/>
      <c r="E983" s="5"/>
      <c r="F983" s="27"/>
      <c r="G983" s="28"/>
    </row>
    <row r="984">
      <c r="D984" s="26"/>
      <c r="E984" s="5"/>
      <c r="F984" s="27"/>
      <c r="G984" s="28"/>
    </row>
    <row r="985">
      <c r="D985" s="26"/>
      <c r="E985" s="5"/>
      <c r="F985" s="27"/>
      <c r="G985" s="28"/>
    </row>
    <row r="986">
      <c r="D986" s="26"/>
      <c r="E986" s="5"/>
      <c r="F986" s="27"/>
      <c r="G986" s="28"/>
    </row>
    <row r="987">
      <c r="D987" s="26"/>
      <c r="E987" s="5"/>
      <c r="F987" s="27"/>
      <c r="G987" s="28"/>
    </row>
    <row r="988">
      <c r="D988" s="26"/>
      <c r="E988" s="5"/>
      <c r="F988" s="27"/>
      <c r="G988" s="28"/>
    </row>
    <row r="989">
      <c r="D989" s="26"/>
      <c r="E989" s="5"/>
      <c r="F989" s="27"/>
      <c r="G989" s="28"/>
    </row>
    <row r="990">
      <c r="D990" s="26"/>
      <c r="E990" s="5"/>
      <c r="F990" s="27"/>
      <c r="G990" s="28"/>
    </row>
    <row r="991">
      <c r="D991" s="26"/>
      <c r="E991" s="5"/>
      <c r="F991" s="27"/>
      <c r="G991" s="28"/>
    </row>
    <row r="992">
      <c r="D992" s="26"/>
      <c r="E992" s="5"/>
      <c r="F992" s="27"/>
      <c r="G992" s="28"/>
    </row>
    <row r="993">
      <c r="D993" s="26"/>
      <c r="E993" s="5"/>
      <c r="F993" s="27"/>
      <c r="G993" s="28"/>
    </row>
    <row r="994">
      <c r="D994" s="26"/>
      <c r="E994" s="5"/>
      <c r="F994" s="27"/>
      <c r="G994" s="28"/>
    </row>
    <row r="995">
      <c r="D995" s="26"/>
      <c r="E995" s="5"/>
      <c r="F995" s="27"/>
      <c r="G995" s="28"/>
    </row>
    <row r="996">
      <c r="D996" s="26"/>
      <c r="E996" s="5"/>
      <c r="F996" s="27"/>
      <c r="G996" s="28"/>
    </row>
    <row r="997">
      <c r="D997" s="26"/>
      <c r="E997" s="5"/>
      <c r="F997" s="27"/>
      <c r="G997" s="28"/>
    </row>
    <row r="998">
      <c r="D998" s="26"/>
      <c r="E998" s="5"/>
      <c r="F998" s="27"/>
      <c r="G998" s="28"/>
    </row>
    <row r="999">
      <c r="D999" s="26"/>
      <c r="E999" s="5"/>
      <c r="F999" s="27"/>
      <c r="G999" s="28"/>
    </row>
    <row r="1000">
      <c r="D1000" s="26"/>
      <c r="E1000" s="5"/>
      <c r="F1000" s="27"/>
      <c r="G100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  <col customWidth="1" min="6" max="6" width="6.38"/>
  </cols>
  <sheetData>
    <row r="1" ht="30.0" customHeight="1">
      <c r="A1" s="29" t="s">
        <v>41</v>
      </c>
      <c r="B1" s="30"/>
      <c r="C1" s="30"/>
      <c r="D1" s="31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30.0" customHeight="1">
      <c r="A2" s="34" t="s">
        <v>42</v>
      </c>
      <c r="B2" s="35" t="s">
        <v>43</v>
      </c>
      <c r="C2" s="36" t="s">
        <v>14</v>
      </c>
      <c r="D2" s="37" t="s">
        <v>44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30.0" customHeight="1">
      <c r="A3" s="34" t="s">
        <v>45</v>
      </c>
      <c r="B3" s="38">
        <v>0.02</v>
      </c>
      <c r="C3" s="39">
        <v>0.0</v>
      </c>
      <c r="D3" s="37">
        <f t="shared" ref="D3:D8" si="1">SUM(C3*B3)</f>
        <v>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30.0" customHeight="1">
      <c r="A4" s="34" t="s">
        <v>46</v>
      </c>
      <c r="B4" s="38">
        <v>0.02</v>
      </c>
      <c r="C4" s="39">
        <v>0.0</v>
      </c>
      <c r="D4" s="37">
        <f t="shared" si="1"/>
        <v>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0.0" customHeight="1">
      <c r="A5" s="34" t="s">
        <v>3</v>
      </c>
      <c r="B5" s="38">
        <v>0.02</v>
      </c>
      <c r="C5" s="39">
        <v>0.0</v>
      </c>
      <c r="D5" s="37">
        <f t="shared" si="1"/>
        <v>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30.0" customHeight="1">
      <c r="A6" s="34" t="s">
        <v>6</v>
      </c>
      <c r="B6" s="38">
        <v>0.02</v>
      </c>
      <c r="C6" s="39">
        <v>0.0</v>
      </c>
      <c r="D6" s="37">
        <f t="shared" si="1"/>
        <v>0</v>
      </c>
      <c r="E6" s="40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30.0" customHeight="1">
      <c r="A7" s="34" t="s">
        <v>47</v>
      </c>
      <c r="B7" s="38">
        <v>0.05</v>
      </c>
      <c r="C7" s="39">
        <v>0.0</v>
      </c>
      <c r="D7" s="37">
        <f t="shared" si="1"/>
        <v>0</v>
      </c>
      <c r="E7" s="40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30.0" customHeight="1">
      <c r="A8" s="34" t="s">
        <v>48</v>
      </c>
      <c r="B8" s="38">
        <v>0.07</v>
      </c>
      <c r="C8" s="39">
        <v>110.0</v>
      </c>
      <c r="D8" s="37">
        <f t="shared" si="1"/>
        <v>7.7</v>
      </c>
      <c r="E8" s="40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30.0" customHeight="1">
      <c r="A9" s="13" t="s">
        <v>49</v>
      </c>
      <c r="B9" s="41">
        <v>15.0</v>
      </c>
      <c r="C9" s="42"/>
      <c r="D9" s="42"/>
      <c r="E9" s="40"/>
      <c r="F9" s="33"/>
      <c r="H9" s="33"/>
      <c r="I9" s="33"/>
      <c r="J9" s="33"/>
      <c r="K9" s="33"/>
      <c r="L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0" customHeight="1">
      <c r="A10" s="40"/>
      <c r="B10" s="40"/>
      <c r="C10" s="40"/>
      <c r="D10" s="40"/>
      <c r="E10" s="40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37.5" customHeight="1">
      <c r="A11" s="43" t="s">
        <v>50</v>
      </c>
      <c r="B11" s="30"/>
      <c r="C11" s="30"/>
      <c r="D11" s="30"/>
      <c r="E11" s="31"/>
      <c r="F11" s="33"/>
      <c r="G11" s="43" t="s">
        <v>51</v>
      </c>
      <c r="H11" s="30"/>
      <c r="I11" s="30"/>
      <c r="J11" s="30"/>
      <c r="K11" s="30"/>
      <c r="L11" s="30"/>
      <c r="M11" s="30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37.5" customHeight="1">
      <c r="A12" s="11" t="s">
        <v>52</v>
      </c>
      <c r="B12" s="11" t="s">
        <v>14</v>
      </c>
      <c r="C12" s="44" t="s">
        <v>43</v>
      </c>
      <c r="D12" s="45" t="s">
        <v>53</v>
      </c>
      <c r="E12" s="46" t="s">
        <v>44</v>
      </c>
      <c r="G12" s="11" t="s">
        <v>54</v>
      </c>
      <c r="H12" s="11" t="s">
        <v>55</v>
      </c>
      <c r="I12" s="11" t="s">
        <v>56</v>
      </c>
      <c r="J12" s="45" t="s">
        <v>57</v>
      </c>
      <c r="K12" s="45" t="s">
        <v>58</v>
      </c>
      <c r="L12" s="11" t="s">
        <v>59</v>
      </c>
      <c r="M12" s="11" t="s">
        <v>60</v>
      </c>
      <c r="N12" s="47" t="s">
        <v>44</v>
      </c>
    </row>
    <row r="13" ht="30.0" customHeight="1">
      <c r="A13" s="48" t="s">
        <v>61</v>
      </c>
      <c r="B13" s="16" t="s">
        <v>62</v>
      </c>
      <c r="C13" s="49">
        <v>0.5</v>
      </c>
      <c r="D13" s="50">
        <v>1.0</v>
      </c>
      <c r="E13" s="51">
        <f t="shared" ref="E13:E15" si="2">SUM(D13*C13)</f>
        <v>0.5</v>
      </c>
      <c r="G13" s="49">
        <v>103.0</v>
      </c>
      <c r="H13" s="16">
        <v>30000.0</v>
      </c>
      <c r="I13" s="19">
        <f>G13/H13</f>
        <v>0.003433333333</v>
      </c>
      <c r="J13" s="50">
        <v>46.0</v>
      </c>
      <c r="K13" s="50">
        <v>42.0</v>
      </c>
      <c r="L13" s="17">
        <f>J13*K13</f>
        <v>1932</v>
      </c>
      <c r="M13" s="52">
        <f>N13/K13</f>
        <v>0.1579333333</v>
      </c>
      <c r="N13" s="53">
        <f>I13*L13</f>
        <v>6.6332</v>
      </c>
    </row>
    <row r="14" ht="30.0" customHeight="1">
      <c r="A14" s="54"/>
      <c r="B14" s="16" t="s">
        <v>63</v>
      </c>
      <c r="C14" s="49">
        <v>0.34</v>
      </c>
      <c r="D14" s="50">
        <v>1.0</v>
      </c>
      <c r="E14" s="51">
        <f t="shared" si="2"/>
        <v>0.34</v>
      </c>
      <c r="G14" s="55"/>
      <c r="H14" s="55"/>
      <c r="I14" s="55"/>
      <c r="J14" s="55"/>
      <c r="K14" s="56" t="s">
        <v>64</v>
      </c>
      <c r="L14" s="55"/>
      <c r="M14" s="55"/>
      <c r="N14" s="55"/>
    </row>
    <row r="15" ht="30.0" customHeight="1">
      <c r="A15" s="57"/>
      <c r="B15" s="16" t="s">
        <v>65</v>
      </c>
      <c r="C15" s="49">
        <v>0.17</v>
      </c>
      <c r="D15" s="50">
        <v>1.0</v>
      </c>
      <c r="E15" s="51">
        <f t="shared" si="2"/>
        <v>0.17</v>
      </c>
      <c r="G15" s="55"/>
      <c r="H15" s="55"/>
      <c r="I15" s="55"/>
      <c r="J15" s="55"/>
      <c r="K15" s="55"/>
      <c r="L15" s="55"/>
      <c r="M15" s="55"/>
      <c r="N15" s="55"/>
    </row>
    <row r="16" ht="30.0" customHeight="1">
      <c r="A16" s="58" t="s">
        <v>66</v>
      </c>
      <c r="B16" s="31"/>
      <c r="C16" s="49">
        <v>0.16</v>
      </c>
      <c r="D16" s="50">
        <v>1.0</v>
      </c>
      <c r="E16" s="51">
        <f t="shared" ref="E16:E17" si="3">SUM(C16*D16)</f>
        <v>0.16</v>
      </c>
      <c r="G16" s="55"/>
      <c r="H16" s="55"/>
      <c r="I16" s="55"/>
      <c r="J16" s="55"/>
      <c r="K16" s="55"/>
      <c r="L16" s="55"/>
      <c r="M16" s="55"/>
      <c r="N16" s="55"/>
    </row>
    <row r="17" ht="30.0" customHeight="1">
      <c r="A17" s="58" t="s">
        <v>67</v>
      </c>
      <c r="B17" s="31"/>
      <c r="C17" s="49">
        <v>0.32</v>
      </c>
      <c r="D17" s="50">
        <v>1.0</v>
      </c>
      <c r="E17" s="51">
        <f t="shared" si="3"/>
        <v>0.32</v>
      </c>
      <c r="G17" s="55"/>
      <c r="H17" s="55"/>
      <c r="I17" s="55"/>
      <c r="J17" s="55"/>
      <c r="K17" s="55"/>
      <c r="L17" s="55"/>
      <c r="M17" s="55"/>
      <c r="N17" s="55"/>
    </row>
    <row r="18">
      <c r="A18" s="59"/>
      <c r="B18" s="59"/>
      <c r="C18" s="60"/>
      <c r="D18" s="61"/>
      <c r="E18" s="62"/>
    </row>
    <row r="19" ht="37.5" customHeight="1">
      <c r="A19" s="43" t="s">
        <v>68</v>
      </c>
      <c r="B19" s="30"/>
      <c r="C19" s="30"/>
      <c r="D19" s="30"/>
      <c r="E19" s="31"/>
    </row>
    <row r="20" ht="30.0" customHeight="1">
      <c r="A20" s="11" t="s">
        <v>52</v>
      </c>
      <c r="B20" s="11" t="s">
        <v>14</v>
      </c>
      <c r="C20" s="44" t="s">
        <v>43</v>
      </c>
      <c r="D20" s="45" t="s">
        <v>53</v>
      </c>
      <c r="E20" s="46" t="s">
        <v>44</v>
      </c>
    </row>
    <row r="21" ht="30.0" customHeight="1">
      <c r="A21" s="48" t="s">
        <v>61</v>
      </c>
      <c r="B21" s="16" t="s">
        <v>62</v>
      </c>
      <c r="C21" s="49">
        <v>1.25</v>
      </c>
      <c r="D21" s="50">
        <v>0.0</v>
      </c>
      <c r="E21" s="51">
        <f t="shared" ref="E21:E25" si="4">SUM(C21*D21)</f>
        <v>0</v>
      </c>
    </row>
    <row r="22" ht="30.0" customHeight="1">
      <c r="A22" s="54"/>
      <c r="B22" s="16" t="s">
        <v>63</v>
      </c>
      <c r="C22" s="49">
        <v>0.85</v>
      </c>
      <c r="D22" s="50">
        <v>1.0</v>
      </c>
      <c r="E22" s="51">
        <f t="shared" si="4"/>
        <v>0.85</v>
      </c>
    </row>
    <row r="23" ht="30.0" customHeight="1">
      <c r="A23" s="57"/>
      <c r="B23" s="16" t="s">
        <v>65</v>
      </c>
      <c r="C23" s="49">
        <v>0.5</v>
      </c>
      <c r="D23" s="50">
        <v>0.0</v>
      </c>
      <c r="E23" s="51">
        <f t="shared" si="4"/>
        <v>0</v>
      </c>
    </row>
    <row r="24" ht="30.0" customHeight="1">
      <c r="A24" s="58" t="s">
        <v>66</v>
      </c>
      <c r="B24" s="31"/>
      <c r="C24" s="49">
        <v>0.85</v>
      </c>
      <c r="D24" s="50">
        <v>0.0</v>
      </c>
      <c r="E24" s="51">
        <f t="shared" si="4"/>
        <v>0</v>
      </c>
    </row>
    <row r="25" ht="30.0" customHeight="1">
      <c r="A25" s="58" t="s">
        <v>67</v>
      </c>
      <c r="B25" s="31"/>
      <c r="C25" s="49">
        <v>1.7</v>
      </c>
      <c r="D25" s="50">
        <v>0.0</v>
      </c>
      <c r="E25" s="51">
        <f t="shared" si="4"/>
        <v>0</v>
      </c>
    </row>
    <row r="26">
      <c r="A26" s="63"/>
      <c r="B26" s="63"/>
      <c r="C26" s="64"/>
      <c r="D26" s="65"/>
      <c r="E26" s="66"/>
    </row>
    <row r="27" ht="37.5" customHeight="1">
      <c r="A27" s="67" t="s">
        <v>69</v>
      </c>
      <c r="B27" s="30"/>
      <c r="C27" s="30"/>
      <c r="D27" s="30"/>
      <c r="E27" s="31"/>
    </row>
    <row r="28" ht="30.0" customHeight="1">
      <c r="A28" s="68" t="s">
        <v>52</v>
      </c>
      <c r="B28" s="69" t="s">
        <v>14</v>
      </c>
      <c r="C28" s="35" t="s">
        <v>43</v>
      </c>
      <c r="D28" s="70" t="s">
        <v>53</v>
      </c>
      <c r="E28" s="37" t="s">
        <v>44</v>
      </c>
    </row>
    <row r="29" ht="30.0" customHeight="1">
      <c r="A29" s="71" t="s">
        <v>3</v>
      </c>
      <c r="B29" s="72" t="s">
        <v>62</v>
      </c>
      <c r="C29" s="38">
        <v>0.5</v>
      </c>
      <c r="D29" s="39">
        <v>0.0</v>
      </c>
      <c r="E29" s="37">
        <f t="shared" ref="E29:E31" si="5">SUM(C29*D29)</f>
        <v>0</v>
      </c>
    </row>
    <row r="30" ht="30.0" customHeight="1">
      <c r="A30" s="54"/>
      <c r="B30" s="72" t="s">
        <v>63</v>
      </c>
      <c r="C30" s="38">
        <v>0.35</v>
      </c>
      <c r="D30" s="39">
        <v>0.0</v>
      </c>
      <c r="E30" s="37">
        <f t="shared" si="5"/>
        <v>0</v>
      </c>
    </row>
    <row r="31" ht="30.0" customHeight="1">
      <c r="A31" s="57"/>
      <c r="B31" s="72" t="s">
        <v>65</v>
      </c>
      <c r="C31" s="38">
        <v>0.15</v>
      </c>
      <c r="D31" s="39">
        <v>0.0</v>
      </c>
      <c r="E31" s="37">
        <f t="shared" si="5"/>
        <v>0</v>
      </c>
    </row>
    <row r="32">
      <c r="C32" s="10"/>
      <c r="D32" s="73"/>
      <c r="E32" s="74"/>
    </row>
    <row r="33" ht="30.0" customHeight="1">
      <c r="A33" s="67" t="s">
        <v>70</v>
      </c>
      <c r="B33" s="30"/>
      <c r="C33" s="30"/>
      <c r="D33" s="30"/>
      <c r="E33" s="31"/>
    </row>
    <row r="34" ht="30.0" customHeight="1">
      <c r="A34" s="68" t="s">
        <v>52</v>
      </c>
      <c r="B34" s="69" t="s">
        <v>14</v>
      </c>
      <c r="C34" s="35" t="s">
        <v>43</v>
      </c>
      <c r="D34" s="70" t="s">
        <v>53</v>
      </c>
      <c r="E34" s="37" t="s">
        <v>44</v>
      </c>
    </row>
    <row r="35" ht="30.0" customHeight="1">
      <c r="A35" s="71" t="s">
        <v>3</v>
      </c>
      <c r="B35" s="72" t="s">
        <v>62</v>
      </c>
      <c r="C35" s="38">
        <v>0.5</v>
      </c>
      <c r="D35" s="39">
        <v>100.0</v>
      </c>
      <c r="E35" s="37">
        <f t="shared" ref="E35:E37" si="6">SUM(C35*D35)</f>
        <v>50</v>
      </c>
    </row>
    <row r="36" ht="30.0" customHeight="1">
      <c r="A36" s="54"/>
      <c r="B36" s="72" t="s">
        <v>63</v>
      </c>
      <c r="C36" s="38">
        <v>0.35</v>
      </c>
      <c r="D36" s="39">
        <v>0.0</v>
      </c>
      <c r="E36" s="37">
        <f t="shared" si="6"/>
        <v>0</v>
      </c>
    </row>
    <row r="37" ht="30.0" customHeight="1">
      <c r="A37" s="57"/>
      <c r="B37" s="72" t="s">
        <v>65</v>
      </c>
      <c r="C37" s="38">
        <v>0.15</v>
      </c>
      <c r="D37" s="39">
        <v>0.0</v>
      </c>
      <c r="E37" s="37">
        <f t="shared" si="6"/>
        <v>0</v>
      </c>
    </row>
    <row r="38">
      <c r="C38" s="10"/>
      <c r="D38" s="73"/>
      <c r="E38" s="74"/>
    </row>
    <row r="39" ht="37.5" customHeight="1">
      <c r="A39" s="67" t="s">
        <v>71</v>
      </c>
      <c r="B39" s="30"/>
      <c r="C39" s="30"/>
      <c r="D39" s="30"/>
      <c r="E39" s="31"/>
    </row>
    <row r="40" ht="37.5" customHeight="1">
      <c r="A40" s="75"/>
      <c r="B40" s="75" t="s">
        <v>14</v>
      </c>
      <c r="C40" s="76" t="s">
        <v>43</v>
      </c>
      <c r="D40" s="77" t="s">
        <v>44</v>
      </c>
      <c r="E40" s="31"/>
    </row>
    <row r="41" ht="37.5" customHeight="1">
      <c r="A41" s="78"/>
      <c r="B41" s="78">
        <v>2000.0</v>
      </c>
      <c r="C41" s="79">
        <v>20.46</v>
      </c>
      <c r="D41" s="80">
        <f>C41/B41</f>
        <v>0.01023</v>
      </c>
      <c r="E41" s="31"/>
    </row>
    <row r="42" ht="37.5" customHeight="1">
      <c r="A42" s="81"/>
      <c r="B42" s="82"/>
      <c r="C42" s="83"/>
      <c r="D42" s="81"/>
      <c r="E42" s="84"/>
    </row>
    <row r="43" ht="37.5" customHeight="1">
      <c r="A43" s="81"/>
      <c r="B43" s="82"/>
      <c r="C43" s="83"/>
      <c r="D43" s="81"/>
      <c r="E43" s="84"/>
    </row>
    <row r="44">
      <c r="C44" s="10"/>
      <c r="D44" s="73"/>
      <c r="E44" s="74"/>
    </row>
    <row r="45">
      <c r="C45" s="10"/>
      <c r="D45" s="73"/>
      <c r="E45" s="74"/>
    </row>
    <row r="46">
      <c r="C46" s="10"/>
      <c r="D46" s="73"/>
      <c r="E46" s="74"/>
    </row>
    <row r="47">
      <c r="C47" s="10"/>
      <c r="D47" s="73"/>
      <c r="E47" s="74"/>
    </row>
    <row r="48">
      <c r="C48" s="10"/>
      <c r="D48" s="73"/>
      <c r="E48" s="74"/>
    </row>
    <row r="49">
      <c r="C49" s="10"/>
      <c r="D49" s="73"/>
      <c r="E49" s="74"/>
    </row>
    <row r="50">
      <c r="C50" s="10"/>
      <c r="D50" s="73"/>
      <c r="E50" s="74"/>
    </row>
    <row r="51">
      <c r="C51" s="10"/>
      <c r="D51" s="73"/>
      <c r="E51" s="74"/>
    </row>
    <row r="52">
      <c r="C52" s="10"/>
      <c r="D52" s="73"/>
      <c r="E52" s="74"/>
    </row>
    <row r="53">
      <c r="C53" s="10"/>
      <c r="D53" s="73"/>
      <c r="E53" s="74"/>
    </row>
    <row r="54">
      <c r="C54" s="10"/>
      <c r="D54" s="73"/>
      <c r="E54" s="74"/>
    </row>
    <row r="55">
      <c r="C55" s="10"/>
      <c r="D55" s="73"/>
      <c r="E55" s="74"/>
    </row>
    <row r="56">
      <c r="C56" s="10"/>
      <c r="D56" s="73"/>
      <c r="E56" s="74"/>
    </row>
    <row r="57">
      <c r="C57" s="10"/>
      <c r="D57" s="73"/>
      <c r="E57" s="74"/>
    </row>
    <row r="58">
      <c r="C58" s="10"/>
      <c r="D58" s="73"/>
      <c r="E58" s="74"/>
    </row>
    <row r="59">
      <c r="C59" s="10"/>
      <c r="D59" s="73"/>
      <c r="E59" s="74"/>
    </row>
    <row r="60">
      <c r="C60" s="10"/>
      <c r="D60" s="73"/>
      <c r="E60" s="74"/>
    </row>
    <row r="61">
      <c r="C61" s="10"/>
      <c r="D61" s="73"/>
      <c r="E61" s="74"/>
    </row>
    <row r="62">
      <c r="C62" s="10"/>
      <c r="D62" s="73"/>
      <c r="E62" s="74"/>
    </row>
    <row r="63">
      <c r="C63" s="10"/>
      <c r="D63" s="73"/>
      <c r="E63" s="74"/>
    </row>
    <row r="64">
      <c r="C64" s="10"/>
      <c r="D64" s="73"/>
      <c r="E64" s="74"/>
    </row>
    <row r="65">
      <c r="C65" s="10"/>
      <c r="D65" s="73"/>
      <c r="E65" s="74"/>
    </row>
    <row r="66">
      <c r="C66" s="10"/>
      <c r="D66" s="73"/>
      <c r="E66" s="74"/>
    </row>
    <row r="67">
      <c r="C67" s="10"/>
      <c r="D67" s="73"/>
      <c r="E67" s="74"/>
    </row>
    <row r="68">
      <c r="C68" s="10"/>
      <c r="D68" s="73"/>
      <c r="E68" s="74"/>
    </row>
    <row r="69">
      <c r="C69" s="10"/>
      <c r="D69" s="73"/>
      <c r="E69" s="74"/>
    </row>
    <row r="70">
      <c r="C70" s="10"/>
      <c r="D70" s="73"/>
      <c r="E70" s="74"/>
    </row>
    <row r="71">
      <c r="C71" s="10"/>
      <c r="D71" s="73"/>
      <c r="E71" s="74"/>
    </row>
    <row r="72">
      <c r="C72" s="10"/>
      <c r="D72" s="73"/>
      <c r="E72" s="74"/>
    </row>
    <row r="73">
      <c r="C73" s="10"/>
      <c r="D73" s="73"/>
      <c r="E73" s="74"/>
    </row>
    <row r="74">
      <c r="C74" s="10"/>
      <c r="D74" s="73"/>
      <c r="E74" s="74"/>
    </row>
    <row r="75">
      <c r="C75" s="10"/>
      <c r="D75" s="73"/>
      <c r="E75" s="74"/>
    </row>
    <row r="76">
      <c r="C76" s="10"/>
      <c r="D76" s="73"/>
      <c r="E76" s="74"/>
    </row>
    <row r="77">
      <c r="C77" s="10"/>
      <c r="D77" s="73"/>
      <c r="E77" s="74"/>
    </row>
    <row r="78">
      <c r="C78" s="10"/>
      <c r="D78" s="73"/>
      <c r="E78" s="74"/>
    </row>
    <row r="79">
      <c r="C79" s="10"/>
      <c r="D79" s="73"/>
      <c r="E79" s="74"/>
    </row>
    <row r="80">
      <c r="C80" s="10"/>
      <c r="D80" s="73"/>
      <c r="E80" s="74"/>
    </row>
    <row r="81">
      <c r="C81" s="10"/>
      <c r="D81" s="73"/>
      <c r="E81" s="74"/>
    </row>
    <row r="82">
      <c r="C82" s="10"/>
      <c r="D82" s="73"/>
      <c r="E82" s="74"/>
    </row>
    <row r="83">
      <c r="C83" s="10"/>
      <c r="D83" s="73"/>
      <c r="E83" s="74"/>
    </row>
    <row r="84">
      <c r="C84" s="10"/>
      <c r="D84" s="73"/>
      <c r="E84" s="74"/>
    </row>
    <row r="85">
      <c r="C85" s="10"/>
      <c r="D85" s="73"/>
      <c r="E85" s="74"/>
    </row>
    <row r="86">
      <c r="C86" s="10"/>
      <c r="D86" s="73"/>
      <c r="E86" s="74"/>
    </row>
    <row r="87">
      <c r="C87" s="10"/>
      <c r="D87" s="73"/>
      <c r="E87" s="74"/>
    </row>
    <row r="88">
      <c r="C88" s="10"/>
      <c r="D88" s="73"/>
      <c r="E88" s="74"/>
    </row>
    <row r="89">
      <c r="C89" s="10"/>
      <c r="D89" s="73"/>
      <c r="E89" s="74"/>
    </row>
    <row r="90">
      <c r="C90" s="10"/>
      <c r="D90" s="73"/>
      <c r="E90" s="74"/>
    </row>
    <row r="91">
      <c r="C91" s="10"/>
      <c r="D91" s="73"/>
      <c r="E91" s="74"/>
    </row>
    <row r="92">
      <c r="C92" s="10"/>
      <c r="D92" s="73"/>
      <c r="E92" s="74"/>
    </row>
    <row r="93">
      <c r="C93" s="10"/>
      <c r="D93" s="73"/>
      <c r="E93" s="74"/>
    </row>
    <row r="94">
      <c r="C94" s="10"/>
      <c r="D94" s="73"/>
      <c r="E94" s="74"/>
    </row>
    <row r="95">
      <c r="C95" s="10"/>
      <c r="D95" s="73"/>
      <c r="E95" s="74"/>
    </row>
    <row r="96">
      <c r="C96" s="10"/>
      <c r="D96" s="73"/>
      <c r="E96" s="74"/>
    </row>
    <row r="97">
      <c r="C97" s="10"/>
      <c r="D97" s="73"/>
      <c r="E97" s="74"/>
    </row>
    <row r="98">
      <c r="C98" s="10"/>
      <c r="D98" s="73"/>
      <c r="E98" s="74"/>
    </row>
    <row r="99">
      <c r="C99" s="10"/>
      <c r="D99" s="73"/>
      <c r="E99" s="74"/>
    </row>
    <row r="100">
      <c r="C100" s="10"/>
      <c r="D100" s="73"/>
      <c r="E100" s="74"/>
    </row>
    <row r="101">
      <c r="C101" s="10"/>
      <c r="D101" s="73"/>
      <c r="E101" s="74"/>
    </row>
    <row r="102">
      <c r="C102" s="10"/>
      <c r="D102" s="73"/>
      <c r="E102" s="74"/>
    </row>
    <row r="103">
      <c r="C103" s="10"/>
      <c r="D103" s="73"/>
      <c r="E103" s="74"/>
    </row>
    <row r="104">
      <c r="C104" s="10"/>
      <c r="D104" s="73"/>
      <c r="E104" s="74"/>
    </row>
    <row r="105">
      <c r="C105" s="10"/>
      <c r="D105" s="73"/>
      <c r="E105" s="74"/>
    </row>
    <row r="106">
      <c r="C106" s="10"/>
      <c r="D106" s="73"/>
      <c r="E106" s="74"/>
    </row>
    <row r="107">
      <c r="C107" s="10"/>
      <c r="D107" s="73"/>
      <c r="E107" s="74"/>
    </row>
    <row r="108">
      <c r="C108" s="10"/>
      <c r="D108" s="73"/>
      <c r="E108" s="74"/>
    </row>
    <row r="109">
      <c r="C109" s="10"/>
      <c r="D109" s="73"/>
      <c r="E109" s="74"/>
    </row>
    <row r="110">
      <c r="C110" s="10"/>
      <c r="D110" s="73"/>
      <c r="E110" s="74"/>
    </row>
    <row r="111">
      <c r="C111" s="10"/>
      <c r="D111" s="73"/>
      <c r="E111" s="74"/>
    </row>
    <row r="112">
      <c r="C112" s="10"/>
      <c r="D112" s="73"/>
      <c r="E112" s="74"/>
    </row>
    <row r="113">
      <c r="C113" s="10"/>
      <c r="D113" s="73"/>
      <c r="E113" s="74"/>
    </row>
    <row r="114">
      <c r="C114" s="10"/>
      <c r="D114" s="73"/>
      <c r="E114" s="74"/>
    </row>
    <row r="115">
      <c r="C115" s="10"/>
      <c r="D115" s="73"/>
      <c r="E115" s="74"/>
    </row>
    <row r="116">
      <c r="C116" s="10"/>
      <c r="D116" s="73"/>
      <c r="E116" s="74"/>
    </row>
    <row r="117">
      <c r="C117" s="10"/>
      <c r="D117" s="73"/>
      <c r="E117" s="74"/>
    </row>
    <row r="118">
      <c r="C118" s="10"/>
      <c r="D118" s="73"/>
      <c r="E118" s="74"/>
    </row>
    <row r="119">
      <c r="C119" s="10"/>
      <c r="D119" s="73"/>
      <c r="E119" s="74"/>
    </row>
    <row r="120">
      <c r="C120" s="10"/>
      <c r="D120" s="73"/>
      <c r="E120" s="74"/>
    </row>
    <row r="121">
      <c r="C121" s="10"/>
      <c r="D121" s="73"/>
      <c r="E121" s="74"/>
    </row>
    <row r="122">
      <c r="C122" s="10"/>
      <c r="D122" s="73"/>
      <c r="E122" s="74"/>
    </row>
    <row r="123">
      <c r="C123" s="10"/>
      <c r="D123" s="73"/>
      <c r="E123" s="74"/>
    </row>
    <row r="124">
      <c r="C124" s="10"/>
      <c r="D124" s="73"/>
      <c r="E124" s="74"/>
    </row>
    <row r="125">
      <c r="C125" s="10"/>
      <c r="D125" s="73"/>
      <c r="E125" s="74"/>
    </row>
    <row r="126">
      <c r="C126" s="10"/>
      <c r="D126" s="73"/>
      <c r="E126" s="74"/>
    </row>
    <row r="127">
      <c r="C127" s="10"/>
      <c r="D127" s="73"/>
      <c r="E127" s="74"/>
    </row>
    <row r="128">
      <c r="C128" s="10"/>
      <c r="D128" s="73"/>
      <c r="E128" s="74"/>
    </row>
    <row r="129">
      <c r="C129" s="10"/>
      <c r="D129" s="73"/>
      <c r="E129" s="74"/>
    </row>
    <row r="130">
      <c r="C130" s="10"/>
      <c r="D130" s="73"/>
      <c r="E130" s="74"/>
    </row>
    <row r="131">
      <c r="C131" s="10"/>
      <c r="D131" s="73"/>
      <c r="E131" s="74"/>
    </row>
    <row r="132">
      <c r="C132" s="10"/>
      <c r="D132" s="73"/>
      <c r="E132" s="74"/>
    </row>
    <row r="133">
      <c r="C133" s="10"/>
      <c r="D133" s="73"/>
      <c r="E133" s="74"/>
    </row>
    <row r="134">
      <c r="C134" s="10"/>
      <c r="D134" s="73"/>
      <c r="E134" s="74"/>
    </row>
    <row r="135">
      <c r="C135" s="10"/>
      <c r="D135" s="73"/>
      <c r="E135" s="74"/>
    </row>
    <row r="136">
      <c r="C136" s="10"/>
      <c r="D136" s="73"/>
      <c r="E136" s="74"/>
    </row>
    <row r="137">
      <c r="C137" s="10"/>
      <c r="D137" s="73"/>
      <c r="E137" s="74"/>
    </row>
    <row r="138">
      <c r="C138" s="10"/>
      <c r="D138" s="73"/>
      <c r="E138" s="74"/>
    </row>
    <row r="139">
      <c r="C139" s="10"/>
      <c r="D139" s="73"/>
      <c r="E139" s="74"/>
    </row>
    <row r="140">
      <c r="C140" s="10"/>
      <c r="D140" s="73"/>
      <c r="E140" s="74"/>
    </row>
    <row r="141">
      <c r="C141" s="10"/>
      <c r="D141" s="73"/>
      <c r="E141" s="74"/>
    </row>
    <row r="142">
      <c r="C142" s="10"/>
      <c r="D142" s="73"/>
      <c r="E142" s="74"/>
    </row>
    <row r="143">
      <c r="C143" s="10"/>
      <c r="D143" s="73"/>
      <c r="E143" s="74"/>
    </row>
    <row r="144">
      <c r="C144" s="10"/>
      <c r="D144" s="73"/>
      <c r="E144" s="74"/>
    </row>
    <row r="145">
      <c r="C145" s="10"/>
      <c r="D145" s="73"/>
      <c r="E145" s="74"/>
    </row>
    <row r="146">
      <c r="C146" s="10"/>
      <c r="D146" s="73"/>
      <c r="E146" s="74"/>
    </row>
    <row r="147">
      <c r="C147" s="10"/>
      <c r="D147" s="73"/>
      <c r="E147" s="74"/>
    </row>
    <row r="148">
      <c r="C148" s="10"/>
      <c r="D148" s="73"/>
      <c r="E148" s="74"/>
    </row>
    <row r="149">
      <c r="C149" s="10"/>
      <c r="D149" s="73"/>
      <c r="E149" s="74"/>
    </row>
    <row r="150">
      <c r="C150" s="10"/>
      <c r="D150" s="73"/>
      <c r="E150" s="74"/>
    </row>
    <row r="151">
      <c r="C151" s="10"/>
      <c r="D151" s="73"/>
      <c r="E151" s="74"/>
    </row>
    <row r="152">
      <c r="C152" s="10"/>
      <c r="D152" s="73"/>
      <c r="E152" s="74"/>
    </row>
    <row r="153">
      <c r="C153" s="10"/>
      <c r="D153" s="73"/>
      <c r="E153" s="74"/>
    </row>
    <row r="154">
      <c r="C154" s="10"/>
      <c r="D154" s="73"/>
      <c r="E154" s="74"/>
    </row>
    <row r="155">
      <c r="C155" s="10"/>
      <c r="D155" s="73"/>
      <c r="E155" s="74"/>
    </row>
    <row r="156">
      <c r="C156" s="10"/>
      <c r="D156" s="73"/>
      <c r="E156" s="74"/>
    </row>
    <row r="157">
      <c r="C157" s="10"/>
      <c r="D157" s="73"/>
      <c r="E157" s="74"/>
    </row>
    <row r="158">
      <c r="C158" s="10"/>
      <c r="D158" s="73"/>
      <c r="E158" s="74"/>
    </row>
    <row r="159">
      <c r="C159" s="10"/>
      <c r="D159" s="73"/>
      <c r="E159" s="74"/>
    </row>
    <row r="160">
      <c r="C160" s="10"/>
      <c r="D160" s="73"/>
      <c r="E160" s="74"/>
    </row>
    <row r="161">
      <c r="C161" s="10"/>
      <c r="D161" s="73"/>
      <c r="E161" s="74"/>
    </row>
    <row r="162">
      <c r="C162" s="10"/>
      <c r="D162" s="73"/>
      <c r="E162" s="74"/>
    </row>
    <row r="163">
      <c r="C163" s="10"/>
      <c r="D163" s="73"/>
      <c r="E163" s="74"/>
    </row>
    <row r="164">
      <c r="C164" s="10"/>
      <c r="D164" s="73"/>
      <c r="E164" s="74"/>
    </row>
    <row r="165">
      <c r="C165" s="10"/>
      <c r="D165" s="73"/>
      <c r="E165" s="74"/>
    </row>
    <row r="166">
      <c r="C166" s="10"/>
      <c r="D166" s="73"/>
      <c r="E166" s="74"/>
    </row>
    <row r="167">
      <c r="C167" s="10"/>
      <c r="D167" s="73"/>
      <c r="E167" s="74"/>
    </row>
    <row r="168">
      <c r="C168" s="10"/>
      <c r="D168" s="73"/>
      <c r="E168" s="74"/>
    </row>
    <row r="169">
      <c r="C169" s="10"/>
      <c r="D169" s="73"/>
      <c r="E169" s="74"/>
    </row>
    <row r="170">
      <c r="C170" s="10"/>
      <c r="D170" s="73"/>
      <c r="E170" s="74"/>
    </row>
    <row r="171">
      <c r="C171" s="10"/>
      <c r="D171" s="73"/>
      <c r="E171" s="74"/>
    </row>
    <row r="172">
      <c r="C172" s="10"/>
      <c r="D172" s="73"/>
      <c r="E172" s="74"/>
    </row>
    <row r="173">
      <c r="C173" s="10"/>
      <c r="D173" s="73"/>
      <c r="E173" s="74"/>
    </row>
    <row r="174">
      <c r="C174" s="10"/>
      <c r="D174" s="73"/>
      <c r="E174" s="74"/>
    </row>
    <row r="175">
      <c r="C175" s="10"/>
      <c r="D175" s="73"/>
      <c r="E175" s="74"/>
    </row>
    <row r="176">
      <c r="C176" s="10"/>
      <c r="D176" s="73"/>
      <c r="E176" s="74"/>
    </row>
    <row r="177">
      <c r="C177" s="10"/>
      <c r="D177" s="73"/>
      <c r="E177" s="74"/>
    </row>
    <row r="178">
      <c r="C178" s="10"/>
      <c r="D178" s="73"/>
      <c r="E178" s="74"/>
    </row>
    <row r="179">
      <c r="C179" s="10"/>
      <c r="D179" s="73"/>
      <c r="E179" s="74"/>
    </row>
    <row r="180">
      <c r="C180" s="10"/>
      <c r="D180" s="73"/>
      <c r="E180" s="74"/>
    </row>
    <row r="181">
      <c r="C181" s="10"/>
      <c r="D181" s="73"/>
      <c r="E181" s="74"/>
    </row>
    <row r="182">
      <c r="C182" s="10"/>
      <c r="D182" s="73"/>
      <c r="E182" s="74"/>
    </row>
    <row r="183">
      <c r="C183" s="10"/>
      <c r="D183" s="73"/>
      <c r="E183" s="74"/>
    </row>
    <row r="184">
      <c r="C184" s="10"/>
      <c r="D184" s="73"/>
      <c r="E184" s="74"/>
    </row>
    <row r="185">
      <c r="C185" s="10"/>
      <c r="D185" s="73"/>
      <c r="E185" s="74"/>
    </row>
    <row r="186">
      <c r="C186" s="10"/>
      <c r="D186" s="73"/>
      <c r="E186" s="74"/>
    </row>
    <row r="187">
      <c r="C187" s="10"/>
      <c r="D187" s="73"/>
      <c r="E187" s="74"/>
    </row>
    <row r="188">
      <c r="C188" s="10"/>
      <c r="D188" s="73"/>
      <c r="E188" s="74"/>
    </row>
    <row r="189">
      <c r="C189" s="10"/>
      <c r="D189" s="73"/>
      <c r="E189" s="74"/>
    </row>
    <row r="190">
      <c r="C190" s="10"/>
      <c r="D190" s="73"/>
      <c r="E190" s="74"/>
    </row>
    <row r="191">
      <c r="C191" s="10"/>
      <c r="D191" s="73"/>
      <c r="E191" s="74"/>
    </row>
    <row r="192">
      <c r="C192" s="10"/>
      <c r="D192" s="73"/>
      <c r="E192" s="74"/>
    </row>
    <row r="193">
      <c r="C193" s="10"/>
      <c r="D193" s="73"/>
      <c r="E193" s="74"/>
    </row>
    <row r="194">
      <c r="C194" s="10"/>
      <c r="D194" s="73"/>
      <c r="E194" s="74"/>
    </row>
    <row r="195">
      <c r="C195" s="10"/>
      <c r="D195" s="73"/>
      <c r="E195" s="74"/>
    </row>
    <row r="196">
      <c r="C196" s="10"/>
      <c r="D196" s="73"/>
      <c r="E196" s="74"/>
    </row>
    <row r="197">
      <c r="C197" s="10"/>
      <c r="D197" s="73"/>
      <c r="E197" s="74"/>
    </row>
    <row r="198">
      <c r="C198" s="10"/>
      <c r="D198" s="73"/>
      <c r="E198" s="74"/>
    </row>
    <row r="199">
      <c r="C199" s="10"/>
      <c r="D199" s="73"/>
      <c r="E199" s="74"/>
    </row>
    <row r="200">
      <c r="C200" s="10"/>
      <c r="D200" s="73"/>
      <c r="E200" s="74"/>
    </row>
    <row r="201">
      <c r="C201" s="10"/>
      <c r="D201" s="73"/>
      <c r="E201" s="74"/>
    </row>
    <row r="202">
      <c r="C202" s="10"/>
      <c r="D202" s="73"/>
      <c r="E202" s="74"/>
    </row>
    <row r="203">
      <c r="C203" s="10"/>
      <c r="D203" s="73"/>
      <c r="E203" s="74"/>
    </row>
    <row r="204">
      <c r="C204" s="10"/>
      <c r="D204" s="73"/>
      <c r="E204" s="74"/>
    </row>
    <row r="205">
      <c r="C205" s="10"/>
      <c r="D205" s="73"/>
      <c r="E205" s="74"/>
    </row>
    <row r="206">
      <c r="C206" s="10"/>
      <c r="D206" s="73"/>
      <c r="E206" s="74"/>
    </row>
    <row r="207">
      <c r="C207" s="10"/>
      <c r="D207" s="73"/>
      <c r="E207" s="74"/>
    </row>
    <row r="208">
      <c r="C208" s="10"/>
      <c r="D208" s="73"/>
      <c r="E208" s="74"/>
    </row>
    <row r="209">
      <c r="C209" s="10"/>
      <c r="D209" s="73"/>
      <c r="E209" s="74"/>
    </row>
    <row r="210">
      <c r="C210" s="10"/>
      <c r="D210" s="73"/>
      <c r="E210" s="74"/>
    </row>
    <row r="211">
      <c r="C211" s="10"/>
      <c r="D211" s="73"/>
      <c r="E211" s="74"/>
    </row>
    <row r="212">
      <c r="C212" s="10"/>
      <c r="D212" s="73"/>
      <c r="E212" s="74"/>
    </row>
    <row r="213">
      <c r="C213" s="10"/>
      <c r="D213" s="73"/>
      <c r="E213" s="74"/>
    </row>
    <row r="214">
      <c r="C214" s="10"/>
      <c r="D214" s="73"/>
      <c r="E214" s="74"/>
    </row>
    <row r="215">
      <c r="C215" s="10"/>
      <c r="D215" s="73"/>
      <c r="E215" s="74"/>
    </row>
    <row r="216">
      <c r="C216" s="10"/>
      <c r="D216" s="73"/>
      <c r="E216" s="74"/>
    </row>
    <row r="217">
      <c r="C217" s="10"/>
      <c r="D217" s="73"/>
      <c r="E217" s="74"/>
    </row>
    <row r="218">
      <c r="C218" s="10"/>
      <c r="D218" s="73"/>
      <c r="E218" s="74"/>
    </row>
    <row r="219">
      <c r="C219" s="10"/>
      <c r="D219" s="73"/>
      <c r="E219" s="74"/>
    </row>
    <row r="220">
      <c r="C220" s="10"/>
      <c r="D220" s="73"/>
      <c r="E220" s="74"/>
    </row>
    <row r="221">
      <c r="C221" s="10"/>
      <c r="D221" s="73"/>
      <c r="E221" s="74"/>
    </row>
    <row r="222">
      <c r="C222" s="10"/>
      <c r="D222" s="73"/>
      <c r="E222" s="74"/>
    </row>
    <row r="223">
      <c r="C223" s="10"/>
      <c r="D223" s="73"/>
      <c r="E223" s="74"/>
    </row>
    <row r="224">
      <c r="C224" s="10"/>
      <c r="D224" s="73"/>
      <c r="E224" s="74"/>
    </row>
    <row r="225">
      <c r="C225" s="10"/>
      <c r="D225" s="73"/>
      <c r="E225" s="74"/>
    </row>
    <row r="226">
      <c r="C226" s="10"/>
      <c r="D226" s="73"/>
      <c r="E226" s="74"/>
    </row>
    <row r="227">
      <c r="C227" s="10"/>
      <c r="D227" s="73"/>
      <c r="E227" s="74"/>
    </row>
    <row r="228">
      <c r="C228" s="10"/>
      <c r="D228" s="73"/>
      <c r="E228" s="74"/>
    </row>
    <row r="229">
      <c r="C229" s="10"/>
      <c r="D229" s="73"/>
      <c r="E229" s="74"/>
    </row>
    <row r="230">
      <c r="C230" s="10"/>
      <c r="D230" s="73"/>
      <c r="E230" s="74"/>
    </row>
    <row r="231">
      <c r="C231" s="10"/>
      <c r="D231" s="73"/>
      <c r="E231" s="74"/>
    </row>
    <row r="232">
      <c r="C232" s="10"/>
      <c r="D232" s="73"/>
      <c r="E232" s="74"/>
    </row>
    <row r="233">
      <c r="C233" s="10"/>
      <c r="D233" s="73"/>
      <c r="E233" s="74"/>
    </row>
    <row r="234">
      <c r="C234" s="10"/>
      <c r="D234" s="73"/>
      <c r="E234" s="74"/>
    </row>
    <row r="235">
      <c r="C235" s="10"/>
      <c r="D235" s="73"/>
      <c r="E235" s="74"/>
    </row>
    <row r="236">
      <c r="C236" s="10"/>
      <c r="D236" s="73"/>
      <c r="E236" s="74"/>
    </row>
    <row r="237">
      <c r="C237" s="10"/>
      <c r="D237" s="73"/>
      <c r="E237" s="74"/>
    </row>
    <row r="238">
      <c r="C238" s="10"/>
      <c r="D238" s="73"/>
      <c r="E238" s="74"/>
    </row>
    <row r="239">
      <c r="C239" s="10"/>
      <c r="D239" s="73"/>
      <c r="E239" s="74"/>
    </row>
    <row r="240">
      <c r="C240" s="10"/>
      <c r="D240" s="73"/>
      <c r="E240" s="74"/>
    </row>
    <row r="241">
      <c r="C241" s="10"/>
      <c r="D241" s="73"/>
      <c r="E241" s="74"/>
    </row>
    <row r="242">
      <c r="C242" s="10"/>
      <c r="D242" s="73"/>
      <c r="E242" s="74"/>
    </row>
    <row r="243">
      <c r="C243" s="10"/>
      <c r="D243" s="73"/>
      <c r="E243" s="74"/>
    </row>
    <row r="244">
      <c r="C244" s="10"/>
      <c r="D244" s="73"/>
      <c r="E244" s="74"/>
    </row>
    <row r="245">
      <c r="C245" s="10"/>
      <c r="D245" s="73"/>
      <c r="E245" s="74"/>
    </row>
    <row r="246">
      <c r="C246" s="10"/>
      <c r="D246" s="73"/>
      <c r="E246" s="74"/>
    </row>
    <row r="247">
      <c r="C247" s="10"/>
      <c r="D247" s="73"/>
      <c r="E247" s="74"/>
    </row>
    <row r="248">
      <c r="C248" s="10"/>
      <c r="D248" s="73"/>
      <c r="E248" s="74"/>
    </row>
    <row r="249">
      <c r="C249" s="10"/>
      <c r="D249" s="73"/>
      <c r="E249" s="74"/>
    </row>
    <row r="250">
      <c r="C250" s="10"/>
      <c r="D250" s="73"/>
      <c r="E250" s="74"/>
    </row>
    <row r="251">
      <c r="C251" s="10"/>
      <c r="D251" s="73"/>
      <c r="E251" s="74"/>
    </row>
    <row r="252">
      <c r="C252" s="10"/>
      <c r="D252" s="73"/>
      <c r="E252" s="74"/>
    </row>
    <row r="253">
      <c r="C253" s="10"/>
      <c r="D253" s="73"/>
      <c r="E253" s="74"/>
    </row>
    <row r="254">
      <c r="C254" s="10"/>
      <c r="D254" s="73"/>
      <c r="E254" s="74"/>
    </row>
    <row r="255">
      <c r="C255" s="10"/>
      <c r="D255" s="73"/>
      <c r="E255" s="74"/>
    </row>
    <row r="256">
      <c r="C256" s="10"/>
      <c r="D256" s="73"/>
      <c r="E256" s="74"/>
    </row>
    <row r="257">
      <c r="C257" s="10"/>
      <c r="D257" s="73"/>
      <c r="E257" s="74"/>
    </row>
    <row r="258">
      <c r="C258" s="10"/>
      <c r="D258" s="73"/>
      <c r="E258" s="74"/>
    </row>
    <row r="259">
      <c r="C259" s="10"/>
      <c r="D259" s="73"/>
      <c r="E259" s="74"/>
    </row>
    <row r="260">
      <c r="C260" s="10"/>
      <c r="D260" s="73"/>
      <c r="E260" s="74"/>
    </row>
    <row r="261">
      <c r="C261" s="10"/>
      <c r="D261" s="73"/>
      <c r="E261" s="74"/>
    </row>
    <row r="262">
      <c r="C262" s="10"/>
      <c r="D262" s="73"/>
      <c r="E262" s="74"/>
    </row>
    <row r="263">
      <c r="C263" s="10"/>
      <c r="D263" s="73"/>
      <c r="E263" s="74"/>
    </row>
    <row r="264">
      <c r="C264" s="10"/>
      <c r="D264" s="73"/>
      <c r="E264" s="74"/>
    </row>
    <row r="265">
      <c r="C265" s="10"/>
      <c r="D265" s="73"/>
      <c r="E265" s="74"/>
    </row>
    <row r="266">
      <c r="C266" s="10"/>
      <c r="D266" s="73"/>
      <c r="E266" s="74"/>
    </row>
    <row r="267">
      <c r="C267" s="10"/>
      <c r="D267" s="73"/>
      <c r="E267" s="74"/>
    </row>
    <row r="268">
      <c r="C268" s="10"/>
      <c r="D268" s="73"/>
      <c r="E268" s="74"/>
    </row>
    <row r="269">
      <c r="C269" s="10"/>
      <c r="D269" s="73"/>
      <c r="E269" s="74"/>
    </row>
    <row r="270">
      <c r="C270" s="10"/>
      <c r="D270" s="73"/>
      <c r="E270" s="74"/>
    </row>
    <row r="271">
      <c r="C271" s="10"/>
      <c r="D271" s="73"/>
      <c r="E271" s="74"/>
    </row>
    <row r="272">
      <c r="C272" s="10"/>
      <c r="D272" s="73"/>
      <c r="E272" s="74"/>
    </row>
    <row r="273">
      <c r="C273" s="10"/>
      <c r="D273" s="73"/>
      <c r="E273" s="74"/>
    </row>
    <row r="274">
      <c r="C274" s="10"/>
      <c r="D274" s="73"/>
      <c r="E274" s="74"/>
    </row>
    <row r="275">
      <c r="C275" s="10"/>
      <c r="D275" s="73"/>
      <c r="E275" s="74"/>
    </row>
    <row r="276">
      <c r="C276" s="10"/>
      <c r="D276" s="73"/>
      <c r="E276" s="74"/>
    </row>
    <row r="277">
      <c r="C277" s="10"/>
      <c r="D277" s="73"/>
      <c r="E277" s="74"/>
    </row>
    <row r="278">
      <c r="C278" s="10"/>
      <c r="D278" s="73"/>
      <c r="E278" s="74"/>
    </row>
    <row r="279">
      <c r="C279" s="10"/>
      <c r="D279" s="73"/>
      <c r="E279" s="74"/>
    </row>
    <row r="280">
      <c r="C280" s="10"/>
      <c r="D280" s="73"/>
      <c r="E280" s="74"/>
    </row>
    <row r="281">
      <c r="C281" s="10"/>
      <c r="D281" s="73"/>
      <c r="E281" s="74"/>
    </row>
    <row r="282">
      <c r="C282" s="10"/>
      <c r="D282" s="73"/>
      <c r="E282" s="74"/>
    </row>
    <row r="283">
      <c r="C283" s="10"/>
      <c r="D283" s="73"/>
      <c r="E283" s="74"/>
    </row>
    <row r="284">
      <c r="C284" s="10"/>
      <c r="D284" s="73"/>
      <c r="E284" s="74"/>
    </row>
    <row r="285">
      <c r="C285" s="10"/>
      <c r="D285" s="73"/>
      <c r="E285" s="74"/>
    </row>
    <row r="286">
      <c r="C286" s="10"/>
      <c r="D286" s="73"/>
      <c r="E286" s="74"/>
    </row>
    <row r="287">
      <c r="C287" s="10"/>
      <c r="D287" s="73"/>
      <c r="E287" s="74"/>
    </row>
    <row r="288">
      <c r="C288" s="10"/>
      <c r="D288" s="73"/>
      <c r="E288" s="74"/>
    </row>
    <row r="289">
      <c r="C289" s="10"/>
      <c r="D289" s="73"/>
      <c r="E289" s="74"/>
    </row>
    <row r="290">
      <c r="C290" s="10"/>
      <c r="D290" s="73"/>
      <c r="E290" s="74"/>
    </row>
    <row r="291">
      <c r="C291" s="10"/>
      <c r="D291" s="73"/>
      <c r="E291" s="74"/>
    </row>
    <row r="292">
      <c r="C292" s="10"/>
      <c r="D292" s="73"/>
      <c r="E292" s="74"/>
    </row>
    <row r="293">
      <c r="C293" s="10"/>
      <c r="D293" s="73"/>
      <c r="E293" s="74"/>
    </row>
    <row r="294">
      <c r="C294" s="10"/>
      <c r="D294" s="73"/>
      <c r="E294" s="74"/>
    </row>
    <row r="295">
      <c r="C295" s="10"/>
      <c r="D295" s="73"/>
      <c r="E295" s="74"/>
    </row>
    <row r="296">
      <c r="C296" s="10"/>
      <c r="D296" s="73"/>
      <c r="E296" s="74"/>
    </row>
    <row r="297">
      <c r="C297" s="10"/>
      <c r="D297" s="73"/>
      <c r="E297" s="74"/>
    </row>
    <row r="298">
      <c r="C298" s="10"/>
      <c r="D298" s="73"/>
      <c r="E298" s="74"/>
    </row>
    <row r="299">
      <c r="C299" s="10"/>
      <c r="D299" s="73"/>
      <c r="E299" s="74"/>
    </row>
    <row r="300">
      <c r="C300" s="10"/>
      <c r="D300" s="73"/>
      <c r="E300" s="74"/>
    </row>
    <row r="301">
      <c r="C301" s="10"/>
      <c r="D301" s="73"/>
      <c r="E301" s="74"/>
    </row>
    <row r="302">
      <c r="C302" s="10"/>
      <c r="D302" s="73"/>
      <c r="E302" s="74"/>
    </row>
    <row r="303">
      <c r="C303" s="10"/>
      <c r="D303" s="73"/>
      <c r="E303" s="74"/>
    </row>
    <row r="304">
      <c r="C304" s="10"/>
      <c r="D304" s="73"/>
      <c r="E304" s="74"/>
    </row>
    <row r="305">
      <c r="C305" s="10"/>
      <c r="D305" s="73"/>
      <c r="E305" s="74"/>
    </row>
    <row r="306">
      <c r="C306" s="10"/>
      <c r="D306" s="73"/>
      <c r="E306" s="74"/>
    </row>
    <row r="307">
      <c r="C307" s="10"/>
      <c r="D307" s="73"/>
      <c r="E307" s="74"/>
    </row>
    <row r="308">
      <c r="C308" s="10"/>
      <c r="D308" s="73"/>
      <c r="E308" s="74"/>
    </row>
    <row r="309">
      <c r="C309" s="10"/>
      <c r="D309" s="73"/>
      <c r="E309" s="74"/>
    </row>
    <row r="310">
      <c r="C310" s="10"/>
      <c r="D310" s="73"/>
      <c r="E310" s="74"/>
    </row>
    <row r="311">
      <c r="C311" s="10"/>
      <c r="D311" s="73"/>
      <c r="E311" s="74"/>
    </row>
    <row r="312">
      <c r="C312" s="10"/>
      <c r="D312" s="73"/>
      <c r="E312" s="74"/>
    </row>
    <row r="313">
      <c r="C313" s="10"/>
      <c r="D313" s="73"/>
      <c r="E313" s="74"/>
    </row>
    <row r="314">
      <c r="C314" s="10"/>
      <c r="D314" s="73"/>
      <c r="E314" s="74"/>
    </row>
    <row r="315">
      <c r="C315" s="10"/>
      <c r="D315" s="73"/>
      <c r="E315" s="74"/>
    </row>
    <row r="316">
      <c r="C316" s="10"/>
      <c r="D316" s="73"/>
      <c r="E316" s="74"/>
    </row>
    <row r="317">
      <c r="C317" s="10"/>
      <c r="D317" s="73"/>
      <c r="E317" s="74"/>
    </row>
    <row r="318">
      <c r="C318" s="10"/>
      <c r="D318" s="73"/>
      <c r="E318" s="74"/>
    </row>
    <row r="319">
      <c r="C319" s="10"/>
      <c r="D319" s="73"/>
      <c r="E319" s="74"/>
    </row>
    <row r="320">
      <c r="C320" s="10"/>
      <c r="D320" s="73"/>
      <c r="E320" s="74"/>
    </row>
    <row r="321">
      <c r="C321" s="10"/>
      <c r="D321" s="73"/>
      <c r="E321" s="74"/>
    </row>
    <row r="322">
      <c r="C322" s="10"/>
      <c r="D322" s="73"/>
      <c r="E322" s="74"/>
    </row>
    <row r="323">
      <c r="C323" s="10"/>
      <c r="D323" s="73"/>
      <c r="E323" s="74"/>
    </row>
    <row r="324">
      <c r="C324" s="10"/>
      <c r="D324" s="73"/>
      <c r="E324" s="74"/>
    </row>
    <row r="325">
      <c r="C325" s="10"/>
      <c r="D325" s="73"/>
      <c r="E325" s="74"/>
    </row>
    <row r="326">
      <c r="C326" s="10"/>
      <c r="D326" s="73"/>
      <c r="E326" s="74"/>
    </row>
    <row r="327">
      <c r="C327" s="10"/>
      <c r="D327" s="73"/>
      <c r="E327" s="74"/>
    </row>
    <row r="328">
      <c r="C328" s="10"/>
      <c r="D328" s="73"/>
      <c r="E328" s="74"/>
    </row>
    <row r="329">
      <c r="C329" s="10"/>
      <c r="D329" s="73"/>
      <c r="E329" s="74"/>
    </row>
    <row r="330">
      <c r="C330" s="10"/>
      <c r="D330" s="73"/>
      <c r="E330" s="74"/>
    </row>
    <row r="331">
      <c r="C331" s="10"/>
      <c r="D331" s="73"/>
      <c r="E331" s="74"/>
    </row>
    <row r="332">
      <c r="C332" s="10"/>
      <c r="D332" s="73"/>
      <c r="E332" s="74"/>
    </row>
    <row r="333">
      <c r="C333" s="10"/>
      <c r="D333" s="73"/>
      <c r="E333" s="74"/>
    </row>
    <row r="334">
      <c r="C334" s="10"/>
      <c r="D334" s="73"/>
      <c r="E334" s="74"/>
    </row>
    <row r="335">
      <c r="C335" s="10"/>
      <c r="D335" s="73"/>
      <c r="E335" s="74"/>
    </row>
    <row r="336">
      <c r="C336" s="10"/>
      <c r="D336" s="73"/>
      <c r="E336" s="74"/>
    </row>
    <row r="337">
      <c r="C337" s="10"/>
      <c r="D337" s="73"/>
      <c r="E337" s="74"/>
    </row>
    <row r="338">
      <c r="C338" s="10"/>
      <c r="D338" s="73"/>
      <c r="E338" s="74"/>
    </row>
    <row r="339">
      <c r="C339" s="10"/>
      <c r="D339" s="73"/>
      <c r="E339" s="74"/>
    </row>
    <row r="340">
      <c r="C340" s="10"/>
      <c r="D340" s="73"/>
      <c r="E340" s="74"/>
    </row>
    <row r="341">
      <c r="C341" s="10"/>
      <c r="D341" s="73"/>
      <c r="E341" s="74"/>
    </row>
    <row r="342">
      <c r="C342" s="10"/>
      <c r="D342" s="73"/>
      <c r="E342" s="74"/>
    </row>
    <row r="343">
      <c r="C343" s="10"/>
      <c r="D343" s="73"/>
      <c r="E343" s="74"/>
    </row>
    <row r="344">
      <c r="C344" s="10"/>
      <c r="D344" s="73"/>
      <c r="E344" s="74"/>
    </row>
    <row r="345">
      <c r="C345" s="10"/>
      <c r="D345" s="73"/>
      <c r="E345" s="74"/>
    </row>
    <row r="346">
      <c r="C346" s="10"/>
      <c r="D346" s="73"/>
      <c r="E346" s="74"/>
    </row>
    <row r="347">
      <c r="C347" s="10"/>
      <c r="D347" s="73"/>
      <c r="E347" s="74"/>
    </row>
    <row r="348">
      <c r="C348" s="10"/>
      <c r="D348" s="73"/>
      <c r="E348" s="74"/>
    </row>
    <row r="349">
      <c r="C349" s="10"/>
      <c r="D349" s="73"/>
      <c r="E349" s="74"/>
    </row>
    <row r="350">
      <c r="C350" s="10"/>
      <c r="D350" s="73"/>
      <c r="E350" s="74"/>
    </row>
    <row r="351">
      <c r="C351" s="10"/>
      <c r="D351" s="73"/>
      <c r="E351" s="74"/>
    </row>
    <row r="352">
      <c r="C352" s="10"/>
      <c r="D352" s="73"/>
      <c r="E352" s="74"/>
    </row>
    <row r="353">
      <c r="C353" s="10"/>
      <c r="D353" s="73"/>
      <c r="E353" s="74"/>
    </row>
    <row r="354">
      <c r="C354" s="10"/>
      <c r="D354" s="73"/>
      <c r="E354" s="74"/>
    </row>
    <row r="355">
      <c r="C355" s="10"/>
      <c r="D355" s="73"/>
      <c r="E355" s="74"/>
    </row>
    <row r="356">
      <c r="C356" s="10"/>
      <c r="D356" s="73"/>
      <c r="E356" s="74"/>
    </row>
    <row r="357">
      <c r="C357" s="10"/>
      <c r="D357" s="73"/>
      <c r="E357" s="74"/>
    </row>
    <row r="358">
      <c r="C358" s="10"/>
      <c r="D358" s="73"/>
      <c r="E358" s="74"/>
    </row>
    <row r="359">
      <c r="C359" s="10"/>
      <c r="D359" s="73"/>
      <c r="E359" s="74"/>
    </row>
    <row r="360">
      <c r="C360" s="10"/>
      <c r="D360" s="73"/>
      <c r="E360" s="74"/>
    </row>
    <row r="361">
      <c r="C361" s="10"/>
      <c r="D361" s="73"/>
      <c r="E361" s="74"/>
    </row>
    <row r="362">
      <c r="C362" s="10"/>
      <c r="D362" s="73"/>
      <c r="E362" s="74"/>
    </row>
    <row r="363">
      <c r="C363" s="10"/>
      <c r="D363" s="73"/>
      <c r="E363" s="74"/>
    </row>
    <row r="364">
      <c r="C364" s="10"/>
      <c r="D364" s="73"/>
      <c r="E364" s="74"/>
    </row>
    <row r="365">
      <c r="C365" s="10"/>
      <c r="D365" s="73"/>
      <c r="E365" s="74"/>
    </row>
    <row r="366">
      <c r="C366" s="10"/>
      <c r="D366" s="73"/>
      <c r="E366" s="74"/>
    </row>
    <row r="367">
      <c r="C367" s="10"/>
      <c r="D367" s="73"/>
      <c r="E367" s="74"/>
    </row>
    <row r="368">
      <c r="C368" s="10"/>
      <c r="D368" s="73"/>
      <c r="E368" s="74"/>
    </row>
    <row r="369">
      <c r="C369" s="10"/>
      <c r="D369" s="73"/>
      <c r="E369" s="74"/>
    </row>
    <row r="370">
      <c r="C370" s="10"/>
      <c r="D370" s="73"/>
      <c r="E370" s="74"/>
    </row>
    <row r="371">
      <c r="C371" s="10"/>
      <c r="D371" s="73"/>
      <c r="E371" s="74"/>
    </row>
    <row r="372">
      <c r="C372" s="10"/>
      <c r="D372" s="73"/>
      <c r="E372" s="74"/>
    </row>
    <row r="373">
      <c r="C373" s="10"/>
      <c r="D373" s="73"/>
      <c r="E373" s="74"/>
    </row>
    <row r="374">
      <c r="C374" s="10"/>
      <c r="D374" s="73"/>
      <c r="E374" s="74"/>
    </row>
    <row r="375">
      <c r="C375" s="10"/>
      <c r="D375" s="73"/>
      <c r="E375" s="74"/>
    </row>
    <row r="376">
      <c r="C376" s="10"/>
      <c r="D376" s="73"/>
      <c r="E376" s="74"/>
    </row>
    <row r="377">
      <c r="C377" s="10"/>
      <c r="D377" s="73"/>
      <c r="E377" s="74"/>
    </row>
    <row r="378">
      <c r="C378" s="10"/>
      <c r="D378" s="73"/>
      <c r="E378" s="74"/>
    </row>
    <row r="379">
      <c r="C379" s="10"/>
      <c r="D379" s="73"/>
      <c r="E379" s="74"/>
    </row>
    <row r="380">
      <c r="C380" s="10"/>
      <c r="D380" s="73"/>
      <c r="E380" s="74"/>
    </row>
    <row r="381">
      <c r="C381" s="10"/>
      <c r="D381" s="73"/>
      <c r="E381" s="74"/>
    </row>
    <row r="382">
      <c r="C382" s="10"/>
      <c r="D382" s="73"/>
      <c r="E382" s="74"/>
    </row>
    <row r="383">
      <c r="C383" s="10"/>
      <c r="D383" s="73"/>
      <c r="E383" s="74"/>
    </row>
    <row r="384">
      <c r="C384" s="10"/>
      <c r="D384" s="73"/>
      <c r="E384" s="74"/>
    </row>
    <row r="385">
      <c r="C385" s="10"/>
      <c r="D385" s="73"/>
      <c r="E385" s="74"/>
    </row>
    <row r="386">
      <c r="C386" s="10"/>
      <c r="D386" s="73"/>
      <c r="E386" s="74"/>
    </row>
    <row r="387">
      <c r="C387" s="10"/>
      <c r="D387" s="73"/>
      <c r="E387" s="74"/>
    </row>
    <row r="388">
      <c r="C388" s="10"/>
      <c r="D388" s="73"/>
      <c r="E388" s="74"/>
    </row>
    <row r="389">
      <c r="C389" s="10"/>
      <c r="D389" s="73"/>
      <c r="E389" s="74"/>
    </row>
    <row r="390">
      <c r="C390" s="10"/>
      <c r="D390" s="73"/>
      <c r="E390" s="74"/>
    </row>
    <row r="391">
      <c r="C391" s="10"/>
      <c r="D391" s="73"/>
      <c r="E391" s="74"/>
    </row>
    <row r="392">
      <c r="C392" s="10"/>
      <c r="D392" s="73"/>
      <c r="E392" s="74"/>
    </row>
    <row r="393">
      <c r="C393" s="10"/>
      <c r="D393" s="73"/>
      <c r="E393" s="74"/>
    </row>
    <row r="394">
      <c r="C394" s="10"/>
      <c r="D394" s="73"/>
      <c r="E394" s="74"/>
    </row>
    <row r="395">
      <c r="C395" s="10"/>
      <c r="D395" s="73"/>
      <c r="E395" s="74"/>
    </row>
    <row r="396">
      <c r="C396" s="10"/>
      <c r="D396" s="73"/>
      <c r="E396" s="74"/>
    </row>
    <row r="397">
      <c r="C397" s="10"/>
      <c r="D397" s="73"/>
      <c r="E397" s="74"/>
    </row>
    <row r="398">
      <c r="C398" s="10"/>
      <c r="D398" s="73"/>
      <c r="E398" s="74"/>
    </row>
    <row r="399">
      <c r="C399" s="10"/>
      <c r="D399" s="73"/>
      <c r="E399" s="74"/>
    </row>
    <row r="400">
      <c r="C400" s="10"/>
      <c r="D400" s="73"/>
      <c r="E400" s="74"/>
    </row>
    <row r="401">
      <c r="C401" s="10"/>
      <c r="D401" s="73"/>
      <c r="E401" s="74"/>
    </row>
    <row r="402">
      <c r="C402" s="10"/>
      <c r="D402" s="73"/>
      <c r="E402" s="74"/>
    </row>
    <row r="403">
      <c r="C403" s="10"/>
      <c r="D403" s="73"/>
      <c r="E403" s="74"/>
    </row>
    <row r="404">
      <c r="C404" s="10"/>
      <c r="D404" s="73"/>
      <c r="E404" s="74"/>
    </row>
    <row r="405">
      <c r="C405" s="10"/>
      <c r="D405" s="73"/>
      <c r="E405" s="74"/>
    </row>
    <row r="406">
      <c r="C406" s="10"/>
      <c r="D406" s="73"/>
      <c r="E406" s="74"/>
    </row>
    <row r="407">
      <c r="C407" s="10"/>
      <c r="D407" s="73"/>
      <c r="E407" s="74"/>
    </row>
    <row r="408">
      <c r="C408" s="10"/>
      <c r="D408" s="73"/>
      <c r="E408" s="74"/>
    </row>
    <row r="409">
      <c r="C409" s="10"/>
      <c r="D409" s="73"/>
      <c r="E409" s="74"/>
    </row>
    <row r="410">
      <c r="C410" s="10"/>
      <c r="D410" s="73"/>
      <c r="E410" s="74"/>
    </row>
    <row r="411">
      <c r="C411" s="10"/>
      <c r="D411" s="73"/>
      <c r="E411" s="74"/>
    </row>
    <row r="412">
      <c r="C412" s="10"/>
      <c r="D412" s="73"/>
      <c r="E412" s="74"/>
    </row>
    <row r="413">
      <c r="C413" s="10"/>
      <c r="D413" s="73"/>
      <c r="E413" s="74"/>
    </row>
    <row r="414">
      <c r="C414" s="10"/>
      <c r="D414" s="73"/>
      <c r="E414" s="74"/>
    </row>
    <row r="415">
      <c r="C415" s="10"/>
      <c r="D415" s="73"/>
      <c r="E415" s="74"/>
    </row>
    <row r="416">
      <c r="C416" s="10"/>
      <c r="D416" s="73"/>
      <c r="E416" s="74"/>
    </row>
    <row r="417">
      <c r="C417" s="10"/>
      <c r="D417" s="73"/>
      <c r="E417" s="74"/>
    </row>
    <row r="418">
      <c r="C418" s="10"/>
      <c r="D418" s="73"/>
      <c r="E418" s="74"/>
    </row>
    <row r="419">
      <c r="C419" s="10"/>
      <c r="D419" s="73"/>
      <c r="E419" s="74"/>
    </row>
    <row r="420">
      <c r="C420" s="10"/>
      <c r="D420" s="73"/>
      <c r="E420" s="74"/>
    </row>
    <row r="421">
      <c r="C421" s="10"/>
      <c r="D421" s="73"/>
      <c r="E421" s="74"/>
    </row>
    <row r="422">
      <c r="C422" s="10"/>
      <c r="D422" s="73"/>
      <c r="E422" s="74"/>
    </row>
    <row r="423">
      <c r="C423" s="10"/>
      <c r="D423" s="73"/>
      <c r="E423" s="74"/>
    </row>
    <row r="424">
      <c r="C424" s="10"/>
      <c r="D424" s="73"/>
      <c r="E424" s="74"/>
    </row>
    <row r="425">
      <c r="C425" s="10"/>
      <c r="D425" s="73"/>
      <c r="E425" s="74"/>
    </row>
    <row r="426">
      <c r="C426" s="10"/>
      <c r="D426" s="73"/>
      <c r="E426" s="74"/>
    </row>
    <row r="427">
      <c r="C427" s="10"/>
      <c r="D427" s="73"/>
      <c r="E427" s="74"/>
    </row>
    <row r="428">
      <c r="C428" s="10"/>
      <c r="D428" s="73"/>
      <c r="E428" s="74"/>
    </row>
    <row r="429">
      <c r="C429" s="10"/>
      <c r="D429" s="73"/>
      <c r="E429" s="74"/>
    </row>
    <row r="430">
      <c r="C430" s="10"/>
      <c r="D430" s="73"/>
      <c r="E430" s="74"/>
    </row>
    <row r="431">
      <c r="C431" s="10"/>
      <c r="D431" s="73"/>
      <c r="E431" s="74"/>
    </row>
    <row r="432">
      <c r="C432" s="10"/>
      <c r="D432" s="73"/>
      <c r="E432" s="74"/>
    </row>
    <row r="433">
      <c r="C433" s="10"/>
      <c r="D433" s="73"/>
      <c r="E433" s="74"/>
    </row>
    <row r="434">
      <c r="C434" s="10"/>
      <c r="D434" s="73"/>
      <c r="E434" s="74"/>
    </row>
    <row r="435">
      <c r="C435" s="10"/>
      <c r="D435" s="73"/>
      <c r="E435" s="74"/>
    </row>
    <row r="436">
      <c r="C436" s="10"/>
      <c r="D436" s="73"/>
      <c r="E436" s="74"/>
    </row>
    <row r="437">
      <c r="C437" s="10"/>
      <c r="D437" s="73"/>
      <c r="E437" s="74"/>
    </row>
    <row r="438">
      <c r="C438" s="10"/>
      <c r="D438" s="73"/>
      <c r="E438" s="74"/>
    </row>
    <row r="439">
      <c r="C439" s="10"/>
      <c r="D439" s="73"/>
      <c r="E439" s="74"/>
    </row>
    <row r="440">
      <c r="C440" s="10"/>
      <c r="D440" s="73"/>
      <c r="E440" s="74"/>
    </row>
    <row r="441">
      <c r="C441" s="10"/>
      <c r="D441" s="73"/>
      <c r="E441" s="74"/>
    </row>
    <row r="442">
      <c r="C442" s="10"/>
      <c r="D442" s="73"/>
      <c r="E442" s="74"/>
    </row>
    <row r="443">
      <c r="C443" s="10"/>
      <c r="D443" s="73"/>
      <c r="E443" s="74"/>
    </row>
    <row r="444">
      <c r="C444" s="10"/>
      <c r="D444" s="73"/>
      <c r="E444" s="74"/>
    </row>
    <row r="445">
      <c r="C445" s="10"/>
      <c r="D445" s="73"/>
      <c r="E445" s="74"/>
    </row>
    <row r="446">
      <c r="C446" s="10"/>
      <c r="D446" s="73"/>
      <c r="E446" s="74"/>
    </row>
    <row r="447">
      <c r="C447" s="10"/>
      <c r="D447" s="73"/>
      <c r="E447" s="74"/>
    </row>
    <row r="448">
      <c r="C448" s="10"/>
      <c r="D448" s="73"/>
      <c r="E448" s="74"/>
    </row>
    <row r="449">
      <c r="C449" s="10"/>
      <c r="D449" s="73"/>
      <c r="E449" s="74"/>
    </row>
    <row r="450">
      <c r="C450" s="10"/>
      <c r="D450" s="73"/>
      <c r="E450" s="74"/>
    </row>
    <row r="451">
      <c r="C451" s="10"/>
      <c r="D451" s="73"/>
      <c r="E451" s="74"/>
    </row>
    <row r="452">
      <c r="C452" s="10"/>
      <c r="D452" s="73"/>
      <c r="E452" s="74"/>
    </row>
    <row r="453">
      <c r="C453" s="10"/>
      <c r="D453" s="73"/>
      <c r="E453" s="74"/>
    </row>
    <row r="454">
      <c r="C454" s="10"/>
      <c r="D454" s="73"/>
      <c r="E454" s="74"/>
    </row>
    <row r="455">
      <c r="C455" s="10"/>
      <c r="D455" s="73"/>
      <c r="E455" s="74"/>
    </row>
    <row r="456">
      <c r="C456" s="10"/>
      <c r="D456" s="73"/>
      <c r="E456" s="74"/>
    </row>
    <row r="457">
      <c r="C457" s="10"/>
      <c r="D457" s="73"/>
      <c r="E457" s="74"/>
    </row>
    <row r="458">
      <c r="C458" s="10"/>
      <c r="D458" s="73"/>
      <c r="E458" s="74"/>
    </row>
    <row r="459">
      <c r="C459" s="10"/>
      <c r="D459" s="73"/>
      <c r="E459" s="74"/>
    </row>
    <row r="460">
      <c r="C460" s="10"/>
      <c r="D460" s="73"/>
      <c r="E460" s="74"/>
    </row>
    <row r="461">
      <c r="C461" s="10"/>
      <c r="D461" s="73"/>
      <c r="E461" s="74"/>
    </row>
    <row r="462">
      <c r="C462" s="10"/>
      <c r="D462" s="73"/>
      <c r="E462" s="74"/>
    </row>
    <row r="463">
      <c r="C463" s="10"/>
      <c r="D463" s="73"/>
      <c r="E463" s="74"/>
    </row>
    <row r="464">
      <c r="C464" s="10"/>
      <c r="D464" s="73"/>
      <c r="E464" s="74"/>
    </row>
    <row r="465">
      <c r="C465" s="10"/>
      <c r="D465" s="73"/>
      <c r="E465" s="74"/>
    </row>
    <row r="466">
      <c r="C466" s="10"/>
      <c r="D466" s="73"/>
      <c r="E466" s="74"/>
    </row>
    <row r="467">
      <c r="C467" s="10"/>
      <c r="D467" s="73"/>
      <c r="E467" s="74"/>
    </row>
    <row r="468">
      <c r="C468" s="10"/>
      <c r="D468" s="73"/>
      <c r="E468" s="74"/>
    </row>
    <row r="469">
      <c r="C469" s="10"/>
      <c r="D469" s="73"/>
      <c r="E469" s="74"/>
    </row>
    <row r="470">
      <c r="C470" s="10"/>
      <c r="D470" s="73"/>
      <c r="E470" s="74"/>
    </row>
    <row r="471">
      <c r="C471" s="10"/>
      <c r="D471" s="73"/>
      <c r="E471" s="74"/>
    </row>
    <row r="472">
      <c r="C472" s="10"/>
      <c r="D472" s="73"/>
      <c r="E472" s="74"/>
    </row>
    <row r="473">
      <c r="C473" s="10"/>
      <c r="D473" s="73"/>
      <c r="E473" s="74"/>
    </row>
    <row r="474">
      <c r="C474" s="10"/>
      <c r="D474" s="73"/>
      <c r="E474" s="74"/>
    </row>
    <row r="475">
      <c r="C475" s="10"/>
      <c r="D475" s="73"/>
      <c r="E475" s="74"/>
    </row>
    <row r="476">
      <c r="C476" s="10"/>
      <c r="D476" s="73"/>
      <c r="E476" s="74"/>
    </row>
    <row r="477">
      <c r="C477" s="10"/>
      <c r="D477" s="73"/>
      <c r="E477" s="74"/>
    </row>
    <row r="478">
      <c r="C478" s="10"/>
      <c r="D478" s="73"/>
      <c r="E478" s="74"/>
    </row>
    <row r="479">
      <c r="C479" s="10"/>
      <c r="D479" s="73"/>
      <c r="E479" s="74"/>
    </row>
    <row r="480">
      <c r="C480" s="10"/>
      <c r="D480" s="73"/>
      <c r="E480" s="74"/>
    </row>
    <row r="481">
      <c r="C481" s="10"/>
      <c r="D481" s="73"/>
      <c r="E481" s="74"/>
    </row>
    <row r="482">
      <c r="C482" s="10"/>
      <c r="D482" s="73"/>
      <c r="E482" s="74"/>
    </row>
    <row r="483">
      <c r="C483" s="10"/>
      <c r="D483" s="73"/>
      <c r="E483" s="74"/>
    </row>
    <row r="484">
      <c r="C484" s="10"/>
      <c r="D484" s="73"/>
      <c r="E484" s="74"/>
    </row>
    <row r="485">
      <c r="C485" s="10"/>
      <c r="D485" s="73"/>
      <c r="E485" s="74"/>
    </row>
    <row r="486">
      <c r="C486" s="10"/>
      <c r="D486" s="73"/>
      <c r="E486" s="74"/>
    </row>
    <row r="487">
      <c r="C487" s="10"/>
      <c r="D487" s="73"/>
      <c r="E487" s="74"/>
    </row>
    <row r="488">
      <c r="C488" s="10"/>
      <c r="D488" s="73"/>
      <c r="E488" s="74"/>
    </row>
    <row r="489">
      <c r="C489" s="10"/>
      <c r="D489" s="73"/>
      <c r="E489" s="74"/>
    </row>
    <row r="490">
      <c r="C490" s="10"/>
      <c r="D490" s="73"/>
      <c r="E490" s="74"/>
    </row>
    <row r="491">
      <c r="C491" s="10"/>
      <c r="D491" s="73"/>
      <c r="E491" s="74"/>
    </row>
    <row r="492">
      <c r="C492" s="10"/>
      <c r="D492" s="73"/>
      <c r="E492" s="74"/>
    </row>
    <row r="493">
      <c r="C493" s="10"/>
      <c r="D493" s="73"/>
      <c r="E493" s="74"/>
    </row>
    <row r="494">
      <c r="C494" s="10"/>
      <c r="D494" s="73"/>
      <c r="E494" s="74"/>
    </row>
    <row r="495">
      <c r="C495" s="10"/>
      <c r="D495" s="73"/>
      <c r="E495" s="74"/>
    </row>
    <row r="496">
      <c r="C496" s="10"/>
      <c r="D496" s="73"/>
      <c r="E496" s="74"/>
    </row>
    <row r="497">
      <c r="C497" s="10"/>
      <c r="D497" s="73"/>
      <c r="E497" s="74"/>
    </row>
    <row r="498">
      <c r="C498" s="10"/>
      <c r="D498" s="73"/>
      <c r="E498" s="74"/>
    </row>
    <row r="499">
      <c r="C499" s="10"/>
      <c r="D499" s="73"/>
      <c r="E499" s="74"/>
    </row>
    <row r="500">
      <c r="C500" s="10"/>
      <c r="D500" s="73"/>
      <c r="E500" s="74"/>
    </row>
    <row r="501">
      <c r="C501" s="10"/>
      <c r="D501" s="73"/>
      <c r="E501" s="74"/>
    </row>
    <row r="502">
      <c r="C502" s="10"/>
      <c r="D502" s="73"/>
      <c r="E502" s="74"/>
    </row>
    <row r="503">
      <c r="C503" s="10"/>
      <c r="D503" s="73"/>
      <c r="E503" s="74"/>
    </row>
    <row r="504">
      <c r="C504" s="10"/>
      <c r="D504" s="73"/>
      <c r="E504" s="74"/>
    </row>
    <row r="505">
      <c r="C505" s="10"/>
      <c r="D505" s="73"/>
      <c r="E505" s="74"/>
    </row>
    <row r="506">
      <c r="C506" s="10"/>
      <c r="D506" s="73"/>
      <c r="E506" s="74"/>
    </row>
    <row r="507">
      <c r="C507" s="10"/>
      <c r="D507" s="73"/>
      <c r="E507" s="74"/>
    </row>
    <row r="508">
      <c r="C508" s="10"/>
      <c r="D508" s="73"/>
      <c r="E508" s="74"/>
    </row>
    <row r="509">
      <c r="C509" s="10"/>
      <c r="D509" s="73"/>
      <c r="E509" s="74"/>
    </row>
    <row r="510">
      <c r="C510" s="10"/>
      <c r="D510" s="73"/>
      <c r="E510" s="74"/>
    </row>
    <row r="511">
      <c r="C511" s="10"/>
      <c r="D511" s="73"/>
      <c r="E511" s="74"/>
    </row>
    <row r="512">
      <c r="C512" s="10"/>
      <c r="D512" s="73"/>
      <c r="E512" s="74"/>
    </row>
    <row r="513">
      <c r="C513" s="10"/>
      <c r="D513" s="73"/>
      <c r="E513" s="74"/>
    </row>
    <row r="514">
      <c r="C514" s="10"/>
      <c r="D514" s="73"/>
      <c r="E514" s="74"/>
    </row>
    <row r="515">
      <c r="C515" s="10"/>
      <c r="D515" s="73"/>
      <c r="E515" s="74"/>
    </row>
    <row r="516">
      <c r="C516" s="10"/>
      <c r="D516" s="73"/>
      <c r="E516" s="74"/>
    </row>
    <row r="517">
      <c r="C517" s="10"/>
      <c r="D517" s="73"/>
      <c r="E517" s="74"/>
    </row>
    <row r="518">
      <c r="C518" s="10"/>
      <c r="D518" s="73"/>
      <c r="E518" s="74"/>
    </row>
    <row r="519">
      <c r="C519" s="10"/>
      <c r="D519" s="73"/>
      <c r="E519" s="74"/>
    </row>
    <row r="520">
      <c r="C520" s="10"/>
      <c r="D520" s="73"/>
      <c r="E520" s="74"/>
    </row>
    <row r="521">
      <c r="C521" s="10"/>
      <c r="D521" s="73"/>
      <c r="E521" s="74"/>
    </row>
    <row r="522">
      <c r="C522" s="10"/>
      <c r="D522" s="73"/>
      <c r="E522" s="74"/>
    </row>
    <row r="523">
      <c r="C523" s="10"/>
      <c r="D523" s="73"/>
      <c r="E523" s="74"/>
    </row>
    <row r="524">
      <c r="C524" s="10"/>
      <c r="D524" s="73"/>
      <c r="E524" s="74"/>
    </row>
    <row r="525">
      <c r="C525" s="10"/>
      <c r="D525" s="73"/>
      <c r="E525" s="74"/>
    </row>
    <row r="526">
      <c r="C526" s="10"/>
      <c r="D526" s="73"/>
      <c r="E526" s="74"/>
    </row>
    <row r="527">
      <c r="C527" s="10"/>
      <c r="D527" s="73"/>
      <c r="E527" s="74"/>
    </row>
    <row r="528">
      <c r="C528" s="10"/>
      <c r="D528" s="73"/>
      <c r="E528" s="74"/>
    </row>
    <row r="529">
      <c r="C529" s="10"/>
      <c r="D529" s="73"/>
      <c r="E529" s="74"/>
    </row>
    <row r="530">
      <c r="C530" s="10"/>
      <c r="D530" s="73"/>
      <c r="E530" s="74"/>
    </row>
    <row r="531">
      <c r="C531" s="10"/>
      <c r="D531" s="73"/>
      <c r="E531" s="74"/>
    </row>
    <row r="532">
      <c r="C532" s="10"/>
      <c r="D532" s="73"/>
      <c r="E532" s="74"/>
    </row>
    <row r="533">
      <c r="C533" s="10"/>
      <c r="D533" s="73"/>
      <c r="E533" s="74"/>
    </row>
    <row r="534">
      <c r="C534" s="10"/>
      <c r="D534" s="73"/>
      <c r="E534" s="74"/>
    </row>
    <row r="535">
      <c r="C535" s="10"/>
      <c r="D535" s="73"/>
      <c r="E535" s="74"/>
    </row>
    <row r="536">
      <c r="C536" s="10"/>
      <c r="D536" s="73"/>
      <c r="E536" s="74"/>
    </row>
    <row r="537">
      <c r="C537" s="10"/>
      <c r="D537" s="73"/>
      <c r="E537" s="74"/>
    </row>
    <row r="538">
      <c r="C538" s="10"/>
      <c r="D538" s="73"/>
      <c r="E538" s="74"/>
    </row>
    <row r="539">
      <c r="C539" s="10"/>
      <c r="D539" s="73"/>
      <c r="E539" s="74"/>
    </row>
    <row r="540">
      <c r="C540" s="10"/>
      <c r="D540" s="73"/>
      <c r="E540" s="74"/>
    </row>
    <row r="541">
      <c r="C541" s="10"/>
      <c r="D541" s="73"/>
      <c r="E541" s="74"/>
    </row>
    <row r="542">
      <c r="C542" s="10"/>
      <c r="D542" s="73"/>
      <c r="E542" s="74"/>
    </row>
    <row r="543">
      <c r="C543" s="10"/>
      <c r="D543" s="73"/>
      <c r="E543" s="74"/>
    </row>
    <row r="544">
      <c r="C544" s="10"/>
      <c r="D544" s="73"/>
      <c r="E544" s="74"/>
    </row>
    <row r="545">
      <c r="C545" s="10"/>
      <c r="D545" s="73"/>
      <c r="E545" s="74"/>
    </row>
    <row r="546">
      <c r="C546" s="10"/>
      <c r="D546" s="73"/>
      <c r="E546" s="74"/>
    </row>
    <row r="547">
      <c r="C547" s="10"/>
      <c r="D547" s="73"/>
      <c r="E547" s="74"/>
    </row>
    <row r="548">
      <c r="C548" s="10"/>
      <c r="D548" s="73"/>
      <c r="E548" s="74"/>
    </row>
    <row r="549">
      <c r="C549" s="10"/>
      <c r="D549" s="73"/>
      <c r="E549" s="74"/>
    </row>
    <row r="550">
      <c r="C550" s="10"/>
      <c r="D550" s="73"/>
      <c r="E550" s="74"/>
    </row>
    <row r="551">
      <c r="C551" s="10"/>
      <c r="D551" s="73"/>
      <c r="E551" s="74"/>
    </row>
    <row r="552">
      <c r="C552" s="10"/>
      <c r="D552" s="73"/>
      <c r="E552" s="74"/>
    </row>
    <row r="553">
      <c r="C553" s="10"/>
      <c r="D553" s="73"/>
      <c r="E553" s="74"/>
    </row>
    <row r="554">
      <c r="C554" s="10"/>
      <c r="D554" s="73"/>
      <c r="E554" s="74"/>
    </row>
    <row r="555">
      <c r="C555" s="10"/>
      <c r="D555" s="73"/>
      <c r="E555" s="74"/>
    </row>
    <row r="556">
      <c r="C556" s="10"/>
      <c r="D556" s="73"/>
      <c r="E556" s="74"/>
    </row>
    <row r="557">
      <c r="C557" s="10"/>
      <c r="D557" s="73"/>
      <c r="E557" s="74"/>
    </row>
    <row r="558">
      <c r="C558" s="10"/>
      <c r="D558" s="73"/>
      <c r="E558" s="74"/>
    </row>
    <row r="559">
      <c r="C559" s="10"/>
      <c r="D559" s="73"/>
      <c r="E559" s="74"/>
    </row>
    <row r="560">
      <c r="C560" s="10"/>
      <c r="D560" s="73"/>
      <c r="E560" s="74"/>
    </row>
    <row r="561">
      <c r="C561" s="10"/>
      <c r="D561" s="73"/>
      <c r="E561" s="74"/>
    </row>
    <row r="562">
      <c r="C562" s="10"/>
      <c r="D562" s="73"/>
      <c r="E562" s="74"/>
    </row>
    <row r="563">
      <c r="C563" s="10"/>
      <c r="D563" s="73"/>
      <c r="E563" s="74"/>
    </row>
    <row r="564">
      <c r="C564" s="10"/>
      <c r="D564" s="73"/>
      <c r="E564" s="74"/>
    </row>
    <row r="565">
      <c r="C565" s="10"/>
      <c r="D565" s="73"/>
      <c r="E565" s="74"/>
    </row>
    <row r="566">
      <c r="C566" s="10"/>
      <c r="D566" s="73"/>
      <c r="E566" s="74"/>
    </row>
    <row r="567">
      <c r="C567" s="10"/>
      <c r="D567" s="73"/>
      <c r="E567" s="74"/>
    </row>
    <row r="568">
      <c r="C568" s="10"/>
      <c r="D568" s="73"/>
      <c r="E568" s="74"/>
    </row>
    <row r="569">
      <c r="C569" s="10"/>
      <c r="D569" s="73"/>
      <c r="E569" s="74"/>
    </row>
    <row r="570">
      <c r="C570" s="10"/>
      <c r="D570" s="73"/>
      <c r="E570" s="74"/>
    </row>
    <row r="571">
      <c r="C571" s="10"/>
      <c r="D571" s="73"/>
      <c r="E571" s="74"/>
    </row>
    <row r="572">
      <c r="C572" s="10"/>
      <c r="D572" s="73"/>
      <c r="E572" s="74"/>
    </row>
    <row r="573">
      <c r="C573" s="10"/>
      <c r="D573" s="73"/>
      <c r="E573" s="74"/>
    </row>
    <row r="574">
      <c r="C574" s="10"/>
      <c r="D574" s="73"/>
      <c r="E574" s="74"/>
    </row>
    <row r="575">
      <c r="C575" s="10"/>
      <c r="D575" s="73"/>
      <c r="E575" s="74"/>
    </row>
    <row r="576">
      <c r="C576" s="10"/>
      <c r="D576" s="73"/>
      <c r="E576" s="74"/>
    </row>
    <row r="577">
      <c r="C577" s="10"/>
      <c r="D577" s="73"/>
      <c r="E577" s="74"/>
    </row>
    <row r="578">
      <c r="C578" s="10"/>
      <c r="D578" s="73"/>
      <c r="E578" s="74"/>
    </row>
    <row r="579">
      <c r="C579" s="10"/>
      <c r="D579" s="73"/>
      <c r="E579" s="74"/>
    </row>
    <row r="580">
      <c r="C580" s="10"/>
      <c r="D580" s="73"/>
      <c r="E580" s="74"/>
    </row>
    <row r="581">
      <c r="C581" s="10"/>
      <c r="D581" s="73"/>
      <c r="E581" s="74"/>
    </row>
    <row r="582">
      <c r="C582" s="10"/>
      <c r="D582" s="73"/>
      <c r="E582" s="74"/>
    </row>
    <row r="583">
      <c r="C583" s="10"/>
      <c r="D583" s="73"/>
      <c r="E583" s="74"/>
    </row>
    <row r="584">
      <c r="C584" s="10"/>
      <c r="D584" s="73"/>
      <c r="E584" s="74"/>
    </row>
    <row r="585">
      <c r="C585" s="10"/>
      <c r="D585" s="73"/>
      <c r="E585" s="74"/>
    </row>
    <row r="586">
      <c r="C586" s="10"/>
      <c r="D586" s="73"/>
      <c r="E586" s="74"/>
    </row>
    <row r="587">
      <c r="C587" s="10"/>
      <c r="D587" s="73"/>
      <c r="E587" s="74"/>
    </row>
    <row r="588">
      <c r="C588" s="10"/>
      <c r="D588" s="73"/>
      <c r="E588" s="74"/>
    </row>
    <row r="589">
      <c r="C589" s="10"/>
      <c r="D589" s="73"/>
      <c r="E589" s="74"/>
    </row>
    <row r="590">
      <c r="C590" s="10"/>
      <c r="D590" s="73"/>
      <c r="E590" s="74"/>
    </row>
    <row r="591">
      <c r="C591" s="10"/>
      <c r="D591" s="73"/>
      <c r="E591" s="74"/>
    </row>
    <row r="592">
      <c r="C592" s="10"/>
      <c r="D592" s="73"/>
      <c r="E592" s="74"/>
    </row>
    <row r="593">
      <c r="C593" s="10"/>
      <c r="D593" s="73"/>
      <c r="E593" s="74"/>
    </row>
    <row r="594">
      <c r="C594" s="10"/>
      <c r="D594" s="73"/>
      <c r="E594" s="74"/>
    </row>
    <row r="595">
      <c r="C595" s="10"/>
      <c r="D595" s="73"/>
      <c r="E595" s="74"/>
    </row>
    <row r="596">
      <c r="C596" s="10"/>
      <c r="D596" s="73"/>
      <c r="E596" s="74"/>
    </row>
    <row r="597">
      <c r="C597" s="10"/>
      <c r="D597" s="73"/>
      <c r="E597" s="74"/>
    </row>
    <row r="598">
      <c r="C598" s="10"/>
      <c r="D598" s="73"/>
      <c r="E598" s="74"/>
    </row>
    <row r="599">
      <c r="C599" s="10"/>
      <c r="D599" s="73"/>
      <c r="E599" s="74"/>
    </row>
    <row r="600">
      <c r="C600" s="10"/>
      <c r="D600" s="73"/>
      <c r="E600" s="74"/>
    </row>
    <row r="601">
      <c r="C601" s="10"/>
      <c r="D601" s="73"/>
      <c r="E601" s="74"/>
    </row>
    <row r="602">
      <c r="C602" s="10"/>
      <c r="D602" s="73"/>
      <c r="E602" s="74"/>
    </row>
    <row r="603">
      <c r="C603" s="10"/>
      <c r="D603" s="73"/>
      <c r="E603" s="74"/>
    </row>
    <row r="604">
      <c r="C604" s="10"/>
      <c r="D604" s="73"/>
      <c r="E604" s="74"/>
    </row>
    <row r="605">
      <c r="C605" s="10"/>
      <c r="D605" s="73"/>
      <c r="E605" s="74"/>
    </row>
    <row r="606">
      <c r="C606" s="10"/>
      <c r="D606" s="73"/>
      <c r="E606" s="74"/>
    </row>
    <row r="607">
      <c r="C607" s="10"/>
      <c r="D607" s="73"/>
      <c r="E607" s="74"/>
    </row>
    <row r="608">
      <c r="C608" s="10"/>
      <c r="D608" s="73"/>
      <c r="E608" s="74"/>
    </row>
    <row r="609">
      <c r="C609" s="10"/>
      <c r="D609" s="73"/>
      <c r="E609" s="74"/>
    </row>
    <row r="610">
      <c r="C610" s="10"/>
      <c r="D610" s="73"/>
      <c r="E610" s="74"/>
    </row>
    <row r="611">
      <c r="C611" s="10"/>
      <c r="D611" s="73"/>
      <c r="E611" s="74"/>
    </row>
    <row r="612">
      <c r="C612" s="10"/>
      <c r="D612" s="73"/>
      <c r="E612" s="74"/>
    </row>
    <row r="613">
      <c r="C613" s="10"/>
      <c r="D613" s="73"/>
      <c r="E613" s="74"/>
    </row>
    <row r="614">
      <c r="C614" s="10"/>
      <c r="D614" s="73"/>
      <c r="E614" s="74"/>
    </row>
    <row r="615">
      <c r="C615" s="10"/>
      <c r="D615" s="73"/>
      <c r="E615" s="74"/>
    </row>
    <row r="616">
      <c r="C616" s="10"/>
      <c r="D616" s="73"/>
      <c r="E616" s="74"/>
    </row>
    <row r="617">
      <c r="C617" s="10"/>
      <c r="D617" s="73"/>
      <c r="E617" s="74"/>
    </row>
    <row r="618">
      <c r="C618" s="10"/>
      <c r="D618" s="73"/>
      <c r="E618" s="74"/>
    </row>
    <row r="619">
      <c r="C619" s="10"/>
      <c r="D619" s="73"/>
      <c r="E619" s="74"/>
    </row>
    <row r="620">
      <c r="C620" s="10"/>
      <c r="D620" s="73"/>
      <c r="E620" s="74"/>
    </row>
    <row r="621">
      <c r="C621" s="10"/>
      <c r="D621" s="73"/>
      <c r="E621" s="74"/>
    </row>
    <row r="622">
      <c r="C622" s="10"/>
      <c r="D622" s="73"/>
      <c r="E622" s="74"/>
    </row>
    <row r="623">
      <c r="C623" s="10"/>
      <c r="D623" s="73"/>
      <c r="E623" s="74"/>
    </row>
    <row r="624">
      <c r="C624" s="10"/>
      <c r="D624" s="73"/>
      <c r="E624" s="74"/>
    </row>
    <row r="625">
      <c r="C625" s="10"/>
      <c r="D625" s="73"/>
      <c r="E625" s="74"/>
    </row>
    <row r="626">
      <c r="C626" s="10"/>
      <c r="D626" s="73"/>
      <c r="E626" s="74"/>
    </row>
    <row r="627">
      <c r="C627" s="10"/>
      <c r="D627" s="73"/>
      <c r="E627" s="74"/>
    </row>
    <row r="628">
      <c r="C628" s="10"/>
      <c r="D628" s="73"/>
      <c r="E628" s="74"/>
    </row>
    <row r="629">
      <c r="C629" s="10"/>
      <c r="D629" s="73"/>
      <c r="E629" s="74"/>
    </row>
    <row r="630">
      <c r="C630" s="10"/>
      <c r="D630" s="73"/>
      <c r="E630" s="74"/>
    </row>
    <row r="631">
      <c r="C631" s="10"/>
      <c r="D631" s="73"/>
      <c r="E631" s="74"/>
    </row>
    <row r="632">
      <c r="C632" s="10"/>
      <c r="D632" s="73"/>
      <c r="E632" s="74"/>
    </row>
    <row r="633">
      <c r="C633" s="10"/>
      <c r="D633" s="73"/>
      <c r="E633" s="74"/>
    </row>
    <row r="634">
      <c r="C634" s="10"/>
      <c r="D634" s="73"/>
      <c r="E634" s="74"/>
    </row>
    <row r="635">
      <c r="C635" s="10"/>
      <c r="D635" s="73"/>
      <c r="E635" s="74"/>
    </row>
    <row r="636">
      <c r="C636" s="10"/>
      <c r="D636" s="73"/>
      <c r="E636" s="74"/>
    </row>
    <row r="637">
      <c r="C637" s="10"/>
      <c r="D637" s="73"/>
      <c r="E637" s="74"/>
    </row>
    <row r="638">
      <c r="C638" s="10"/>
      <c r="D638" s="73"/>
      <c r="E638" s="74"/>
    </row>
    <row r="639">
      <c r="C639" s="10"/>
      <c r="D639" s="73"/>
      <c r="E639" s="74"/>
    </row>
    <row r="640">
      <c r="C640" s="10"/>
      <c r="D640" s="73"/>
      <c r="E640" s="74"/>
    </row>
    <row r="641">
      <c r="C641" s="10"/>
      <c r="D641" s="73"/>
      <c r="E641" s="74"/>
    </row>
    <row r="642">
      <c r="C642" s="10"/>
      <c r="D642" s="73"/>
      <c r="E642" s="74"/>
    </row>
    <row r="643">
      <c r="C643" s="10"/>
      <c r="D643" s="73"/>
      <c r="E643" s="74"/>
    </row>
    <row r="644">
      <c r="C644" s="10"/>
      <c r="D644" s="73"/>
      <c r="E644" s="74"/>
    </row>
    <row r="645">
      <c r="C645" s="10"/>
      <c r="D645" s="73"/>
      <c r="E645" s="74"/>
    </row>
    <row r="646">
      <c r="C646" s="10"/>
      <c r="D646" s="73"/>
      <c r="E646" s="74"/>
    </row>
    <row r="647">
      <c r="C647" s="10"/>
      <c r="D647" s="73"/>
      <c r="E647" s="74"/>
    </row>
    <row r="648">
      <c r="C648" s="10"/>
      <c r="D648" s="73"/>
      <c r="E648" s="74"/>
    </row>
    <row r="649">
      <c r="C649" s="10"/>
      <c r="D649" s="73"/>
      <c r="E649" s="74"/>
    </row>
    <row r="650">
      <c r="C650" s="10"/>
      <c r="D650" s="73"/>
      <c r="E650" s="74"/>
    </row>
    <row r="651">
      <c r="C651" s="10"/>
      <c r="D651" s="73"/>
      <c r="E651" s="74"/>
    </row>
    <row r="652">
      <c r="C652" s="10"/>
      <c r="D652" s="73"/>
      <c r="E652" s="74"/>
    </row>
    <row r="653">
      <c r="C653" s="10"/>
      <c r="D653" s="73"/>
      <c r="E653" s="74"/>
    </row>
    <row r="654">
      <c r="C654" s="10"/>
      <c r="D654" s="73"/>
      <c r="E654" s="74"/>
    </row>
    <row r="655">
      <c r="C655" s="10"/>
      <c r="D655" s="73"/>
      <c r="E655" s="74"/>
    </row>
    <row r="656">
      <c r="C656" s="10"/>
      <c r="D656" s="73"/>
      <c r="E656" s="74"/>
    </row>
    <row r="657">
      <c r="C657" s="10"/>
      <c r="D657" s="73"/>
      <c r="E657" s="74"/>
    </row>
    <row r="658">
      <c r="C658" s="10"/>
      <c r="D658" s="73"/>
      <c r="E658" s="74"/>
    </row>
    <row r="659">
      <c r="C659" s="10"/>
      <c r="D659" s="73"/>
      <c r="E659" s="74"/>
    </row>
    <row r="660">
      <c r="C660" s="10"/>
      <c r="D660" s="73"/>
      <c r="E660" s="74"/>
    </row>
    <row r="661">
      <c r="C661" s="10"/>
      <c r="D661" s="73"/>
      <c r="E661" s="74"/>
    </row>
    <row r="662">
      <c r="C662" s="10"/>
      <c r="D662" s="73"/>
      <c r="E662" s="74"/>
    </row>
    <row r="663">
      <c r="C663" s="10"/>
      <c r="D663" s="73"/>
      <c r="E663" s="74"/>
    </row>
    <row r="664">
      <c r="C664" s="10"/>
      <c r="D664" s="73"/>
      <c r="E664" s="74"/>
    </row>
    <row r="665">
      <c r="C665" s="10"/>
      <c r="D665" s="73"/>
      <c r="E665" s="74"/>
    </row>
    <row r="666">
      <c r="C666" s="10"/>
      <c r="D666" s="73"/>
      <c r="E666" s="74"/>
    </row>
    <row r="667">
      <c r="C667" s="10"/>
      <c r="D667" s="73"/>
      <c r="E667" s="74"/>
    </row>
    <row r="668">
      <c r="C668" s="10"/>
      <c r="D668" s="73"/>
      <c r="E668" s="74"/>
    </row>
    <row r="669">
      <c r="C669" s="10"/>
      <c r="D669" s="73"/>
      <c r="E669" s="74"/>
    </row>
    <row r="670">
      <c r="C670" s="10"/>
      <c r="D670" s="73"/>
      <c r="E670" s="74"/>
    </row>
    <row r="671">
      <c r="C671" s="10"/>
      <c r="D671" s="73"/>
      <c r="E671" s="74"/>
    </row>
    <row r="672">
      <c r="C672" s="10"/>
      <c r="D672" s="73"/>
      <c r="E672" s="74"/>
    </row>
    <row r="673">
      <c r="C673" s="10"/>
      <c r="D673" s="73"/>
      <c r="E673" s="74"/>
    </row>
    <row r="674">
      <c r="C674" s="10"/>
      <c r="D674" s="73"/>
      <c r="E674" s="74"/>
    </row>
    <row r="675">
      <c r="C675" s="10"/>
      <c r="D675" s="73"/>
      <c r="E675" s="74"/>
    </row>
    <row r="676">
      <c r="C676" s="10"/>
      <c r="D676" s="73"/>
      <c r="E676" s="74"/>
    </row>
    <row r="677">
      <c r="C677" s="10"/>
      <c r="D677" s="73"/>
      <c r="E677" s="74"/>
    </row>
    <row r="678">
      <c r="C678" s="10"/>
      <c r="D678" s="73"/>
      <c r="E678" s="74"/>
    </row>
    <row r="679">
      <c r="C679" s="10"/>
      <c r="D679" s="73"/>
      <c r="E679" s="74"/>
    </row>
    <row r="680">
      <c r="C680" s="10"/>
      <c r="D680" s="73"/>
      <c r="E680" s="74"/>
    </row>
    <row r="681">
      <c r="C681" s="10"/>
      <c r="D681" s="73"/>
      <c r="E681" s="74"/>
    </row>
    <row r="682">
      <c r="C682" s="10"/>
      <c r="D682" s="73"/>
      <c r="E682" s="74"/>
    </row>
    <row r="683">
      <c r="C683" s="10"/>
      <c r="D683" s="73"/>
      <c r="E683" s="74"/>
    </row>
    <row r="684">
      <c r="C684" s="10"/>
      <c r="D684" s="73"/>
      <c r="E684" s="74"/>
    </row>
    <row r="685">
      <c r="C685" s="10"/>
      <c r="D685" s="73"/>
      <c r="E685" s="74"/>
    </row>
    <row r="686">
      <c r="C686" s="10"/>
      <c r="D686" s="73"/>
      <c r="E686" s="74"/>
    </row>
    <row r="687">
      <c r="C687" s="10"/>
      <c r="D687" s="73"/>
      <c r="E687" s="74"/>
    </row>
    <row r="688">
      <c r="C688" s="10"/>
      <c r="D688" s="73"/>
      <c r="E688" s="74"/>
    </row>
    <row r="689">
      <c r="C689" s="10"/>
      <c r="D689" s="73"/>
      <c r="E689" s="74"/>
    </row>
    <row r="690">
      <c r="C690" s="10"/>
      <c r="D690" s="73"/>
      <c r="E690" s="74"/>
    </row>
    <row r="691">
      <c r="C691" s="10"/>
      <c r="D691" s="73"/>
      <c r="E691" s="74"/>
    </row>
    <row r="692">
      <c r="C692" s="10"/>
      <c r="D692" s="73"/>
      <c r="E692" s="74"/>
    </row>
    <row r="693">
      <c r="C693" s="10"/>
      <c r="D693" s="73"/>
      <c r="E693" s="74"/>
    </row>
    <row r="694">
      <c r="C694" s="10"/>
      <c r="D694" s="73"/>
      <c r="E694" s="74"/>
    </row>
    <row r="695">
      <c r="C695" s="10"/>
      <c r="D695" s="73"/>
      <c r="E695" s="74"/>
    </row>
    <row r="696">
      <c r="C696" s="10"/>
      <c r="D696" s="73"/>
      <c r="E696" s="74"/>
    </row>
    <row r="697">
      <c r="C697" s="10"/>
      <c r="D697" s="73"/>
      <c r="E697" s="74"/>
    </row>
    <row r="698">
      <c r="C698" s="10"/>
      <c r="D698" s="73"/>
      <c r="E698" s="74"/>
    </row>
    <row r="699">
      <c r="C699" s="10"/>
      <c r="D699" s="73"/>
      <c r="E699" s="74"/>
    </row>
    <row r="700">
      <c r="C700" s="10"/>
      <c r="D700" s="73"/>
      <c r="E700" s="74"/>
    </row>
    <row r="701">
      <c r="C701" s="10"/>
      <c r="D701" s="73"/>
      <c r="E701" s="74"/>
    </row>
    <row r="702">
      <c r="C702" s="10"/>
      <c r="D702" s="73"/>
      <c r="E702" s="74"/>
    </row>
    <row r="703">
      <c r="C703" s="10"/>
      <c r="D703" s="73"/>
      <c r="E703" s="74"/>
    </row>
    <row r="704">
      <c r="C704" s="10"/>
      <c r="D704" s="73"/>
      <c r="E704" s="74"/>
    </row>
    <row r="705">
      <c r="C705" s="10"/>
      <c r="D705" s="73"/>
      <c r="E705" s="74"/>
    </row>
    <row r="706">
      <c r="C706" s="10"/>
      <c r="D706" s="73"/>
      <c r="E706" s="74"/>
    </row>
    <row r="707">
      <c r="C707" s="10"/>
      <c r="D707" s="73"/>
      <c r="E707" s="74"/>
    </row>
    <row r="708">
      <c r="C708" s="10"/>
      <c r="D708" s="73"/>
      <c r="E708" s="74"/>
    </row>
    <row r="709">
      <c r="C709" s="10"/>
      <c r="D709" s="73"/>
      <c r="E709" s="74"/>
    </row>
    <row r="710">
      <c r="C710" s="10"/>
      <c r="D710" s="73"/>
      <c r="E710" s="74"/>
    </row>
    <row r="711">
      <c r="C711" s="10"/>
      <c r="D711" s="73"/>
      <c r="E711" s="74"/>
    </row>
    <row r="712">
      <c r="C712" s="10"/>
      <c r="D712" s="73"/>
      <c r="E712" s="74"/>
    </row>
    <row r="713">
      <c r="C713" s="10"/>
      <c r="D713" s="73"/>
      <c r="E713" s="74"/>
    </row>
    <row r="714">
      <c r="C714" s="10"/>
      <c r="D714" s="73"/>
      <c r="E714" s="74"/>
    </row>
    <row r="715">
      <c r="C715" s="10"/>
      <c r="D715" s="73"/>
      <c r="E715" s="74"/>
    </row>
    <row r="716">
      <c r="C716" s="10"/>
      <c r="D716" s="73"/>
      <c r="E716" s="74"/>
    </row>
    <row r="717">
      <c r="C717" s="10"/>
      <c r="D717" s="73"/>
      <c r="E717" s="74"/>
    </row>
    <row r="718">
      <c r="C718" s="10"/>
      <c r="D718" s="73"/>
      <c r="E718" s="74"/>
    </row>
    <row r="719">
      <c r="C719" s="10"/>
      <c r="D719" s="73"/>
      <c r="E719" s="74"/>
    </row>
    <row r="720">
      <c r="C720" s="10"/>
      <c r="D720" s="73"/>
      <c r="E720" s="74"/>
    </row>
    <row r="721">
      <c r="C721" s="10"/>
      <c r="D721" s="73"/>
      <c r="E721" s="74"/>
    </row>
    <row r="722">
      <c r="C722" s="10"/>
      <c r="D722" s="73"/>
      <c r="E722" s="74"/>
    </row>
    <row r="723">
      <c r="C723" s="10"/>
      <c r="D723" s="73"/>
      <c r="E723" s="74"/>
    </row>
    <row r="724">
      <c r="C724" s="10"/>
      <c r="D724" s="73"/>
      <c r="E724" s="74"/>
    </row>
    <row r="725">
      <c r="C725" s="10"/>
      <c r="D725" s="73"/>
      <c r="E725" s="74"/>
    </row>
    <row r="726">
      <c r="C726" s="10"/>
      <c r="D726" s="73"/>
      <c r="E726" s="74"/>
    </row>
    <row r="727">
      <c r="C727" s="10"/>
      <c r="D727" s="73"/>
      <c r="E727" s="74"/>
    </row>
    <row r="728">
      <c r="C728" s="10"/>
      <c r="D728" s="73"/>
      <c r="E728" s="74"/>
    </row>
    <row r="729">
      <c r="C729" s="10"/>
      <c r="D729" s="73"/>
      <c r="E729" s="74"/>
    </row>
    <row r="730">
      <c r="C730" s="10"/>
      <c r="D730" s="73"/>
      <c r="E730" s="74"/>
    </row>
    <row r="731">
      <c r="C731" s="10"/>
      <c r="D731" s="73"/>
      <c r="E731" s="74"/>
    </row>
    <row r="732">
      <c r="C732" s="10"/>
      <c r="D732" s="73"/>
      <c r="E732" s="74"/>
    </row>
    <row r="733">
      <c r="C733" s="10"/>
      <c r="D733" s="73"/>
      <c r="E733" s="74"/>
    </row>
    <row r="734">
      <c r="C734" s="10"/>
      <c r="D734" s="73"/>
      <c r="E734" s="74"/>
    </row>
    <row r="735">
      <c r="C735" s="10"/>
      <c r="D735" s="73"/>
      <c r="E735" s="74"/>
    </row>
    <row r="736">
      <c r="C736" s="10"/>
      <c r="D736" s="73"/>
      <c r="E736" s="74"/>
    </row>
    <row r="737">
      <c r="C737" s="10"/>
      <c r="D737" s="73"/>
      <c r="E737" s="74"/>
    </row>
    <row r="738">
      <c r="C738" s="10"/>
      <c r="D738" s="73"/>
      <c r="E738" s="74"/>
    </row>
    <row r="739">
      <c r="C739" s="10"/>
      <c r="D739" s="73"/>
      <c r="E739" s="74"/>
    </row>
    <row r="740">
      <c r="C740" s="10"/>
      <c r="D740" s="73"/>
      <c r="E740" s="74"/>
    </row>
    <row r="741">
      <c r="C741" s="10"/>
      <c r="D741" s="73"/>
      <c r="E741" s="74"/>
    </row>
    <row r="742">
      <c r="C742" s="10"/>
      <c r="D742" s="73"/>
      <c r="E742" s="74"/>
    </row>
    <row r="743">
      <c r="C743" s="10"/>
      <c r="D743" s="73"/>
      <c r="E743" s="74"/>
    </row>
    <row r="744">
      <c r="C744" s="10"/>
      <c r="D744" s="73"/>
      <c r="E744" s="74"/>
    </row>
    <row r="745">
      <c r="C745" s="10"/>
      <c r="D745" s="73"/>
      <c r="E745" s="74"/>
    </row>
    <row r="746">
      <c r="C746" s="10"/>
      <c r="D746" s="73"/>
      <c r="E746" s="74"/>
    </row>
    <row r="747">
      <c r="C747" s="10"/>
      <c r="D747" s="73"/>
      <c r="E747" s="74"/>
    </row>
    <row r="748">
      <c r="C748" s="10"/>
      <c r="D748" s="73"/>
      <c r="E748" s="74"/>
    </row>
    <row r="749">
      <c r="C749" s="10"/>
      <c r="D749" s="73"/>
      <c r="E749" s="74"/>
    </row>
    <row r="750">
      <c r="C750" s="10"/>
      <c r="D750" s="73"/>
      <c r="E750" s="74"/>
    </row>
    <row r="751">
      <c r="C751" s="10"/>
      <c r="D751" s="73"/>
      <c r="E751" s="74"/>
    </row>
    <row r="752">
      <c r="C752" s="10"/>
      <c r="D752" s="73"/>
      <c r="E752" s="74"/>
    </row>
    <row r="753">
      <c r="C753" s="10"/>
      <c r="D753" s="73"/>
      <c r="E753" s="74"/>
    </row>
    <row r="754">
      <c r="C754" s="10"/>
      <c r="D754" s="73"/>
      <c r="E754" s="74"/>
    </row>
    <row r="755">
      <c r="C755" s="10"/>
      <c r="D755" s="73"/>
      <c r="E755" s="74"/>
    </row>
    <row r="756">
      <c r="C756" s="10"/>
      <c r="D756" s="73"/>
      <c r="E756" s="74"/>
    </row>
    <row r="757">
      <c r="C757" s="10"/>
      <c r="D757" s="73"/>
      <c r="E757" s="74"/>
    </row>
    <row r="758">
      <c r="C758" s="10"/>
      <c r="D758" s="73"/>
      <c r="E758" s="74"/>
    </row>
    <row r="759">
      <c r="C759" s="10"/>
      <c r="D759" s="73"/>
      <c r="E759" s="74"/>
    </row>
    <row r="760">
      <c r="C760" s="10"/>
      <c r="D760" s="73"/>
      <c r="E760" s="74"/>
    </row>
    <row r="761">
      <c r="C761" s="10"/>
      <c r="D761" s="73"/>
      <c r="E761" s="74"/>
    </row>
    <row r="762">
      <c r="C762" s="10"/>
      <c r="D762" s="73"/>
      <c r="E762" s="74"/>
    </row>
    <row r="763">
      <c r="C763" s="10"/>
      <c r="D763" s="73"/>
      <c r="E763" s="74"/>
    </row>
    <row r="764">
      <c r="C764" s="10"/>
      <c r="D764" s="73"/>
      <c r="E764" s="74"/>
    </row>
    <row r="765">
      <c r="C765" s="10"/>
      <c r="D765" s="73"/>
      <c r="E765" s="74"/>
    </row>
    <row r="766">
      <c r="C766" s="10"/>
      <c r="D766" s="73"/>
      <c r="E766" s="74"/>
    </row>
    <row r="767">
      <c r="C767" s="10"/>
      <c r="D767" s="73"/>
      <c r="E767" s="74"/>
    </row>
    <row r="768">
      <c r="C768" s="10"/>
      <c r="D768" s="73"/>
      <c r="E768" s="74"/>
    </row>
    <row r="769">
      <c r="C769" s="10"/>
      <c r="D769" s="73"/>
      <c r="E769" s="74"/>
    </row>
    <row r="770">
      <c r="C770" s="10"/>
      <c r="D770" s="73"/>
      <c r="E770" s="74"/>
    </row>
    <row r="771">
      <c r="C771" s="10"/>
      <c r="D771" s="73"/>
      <c r="E771" s="74"/>
    </row>
    <row r="772">
      <c r="C772" s="10"/>
      <c r="D772" s="73"/>
      <c r="E772" s="74"/>
    </row>
    <row r="773">
      <c r="C773" s="10"/>
      <c r="D773" s="73"/>
      <c r="E773" s="74"/>
    </row>
    <row r="774">
      <c r="C774" s="10"/>
      <c r="D774" s="73"/>
      <c r="E774" s="74"/>
    </row>
    <row r="775">
      <c r="C775" s="10"/>
      <c r="D775" s="73"/>
      <c r="E775" s="74"/>
    </row>
    <row r="776">
      <c r="C776" s="10"/>
      <c r="D776" s="73"/>
      <c r="E776" s="74"/>
    </row>
    <row r="777">
      <c r="C777" s="10"/>
      <c r="D777" s="73"/>
      <c r="E777" s="74"/>
    </row>
    <row r="778">
      <c r="C778" s="10"/>
      <c r="D778" s="73"/>
      <c r="E778" s="74"/>
    </row>
    <row r="779">
      <c r="C779" s="10"/>
      <c r="D779" s="73"/>
      <c r="E779" s="74"/>
    </row>
    <row r="780">
      <c r="C780" s="10"/>
      <c r="D780" s="73"/>
      <c r="E780" s="74"/>
    </row>
    <row r="781">
      <c r="C781" s="10"/>
      <c r="D781" s="73"/>
      <c r="E781" s="74"/>
    </row>
    <row r="782">
      <c r="C782" s="10"/>
      <c r="D782" s="73"/>
      <c r="E782" s="74"/>
    </row>
    <row r="783">
      <c r="C783" s="10"/>
      <c r="D783" s="73"/>
      <c r="E783" s="74"/>
    </row>
    <row r="784">
      <c r="C784" s="10"/>
      <c r="D784" s="73"/>
      <c r="E784" s="74"/>
    </row>
    <row r="785">
      <c r="C785" s="10"/>
      <c r="D785" s="73"/>
      <c r="E785" s="74"/>
    </row>
    <row r="786">
      <c r="C786" s="10"/>
      <c r="D786" s="73"/>
      <c r="E786" s="74"/>
    </row>
    <row r="787">
      <c r="C787" s="10"/>
      <c r="D787" s="73"/>
      <c r="E787" s="74"/>
    </row>
    <row r="788">
      <c r="C788" s="10"/>
      <c r="D788" s="73"/>
      <c r="E788" s="74"/>
    </row>
    <row r="789">
      <c r="C789" s="10"/>
      <c r="D789" s="73"/>
      <c r="E789" s="74"/>
    </row>
    <row r="790">
      <c r="C790" s="10"/>
      <c r="D790" s="73"/>
      <c r="E790" s="74"/>
    </row>
    <row r="791">
      <c r="C791" s="10"/>
      <c r="D791" s="73"/>
      <c r="E791" s="74"/>
    </row>
    <row r="792">
      <c r="C792" s="10"/>
      <c r="D792" s="73"/>
      <c r="E792" s="74"/>
    </row>
    <row r="793">
      <c r="C793" s="10"/>
      <c r="D793" s="73"/>
      <c r="E793" s="74"/>
    </row>
    <row r="794">
      <c r="C794" s="10"/>
      <c r="D794" s="73"/>
      <c r="E794" s="74"/>
    </row>
    <row r="795">
      <c r="C795" s="10"/>
      <c r="D795" s="73"/>
      <c r="E795" s="74"/>
    </row>
    <row r="796">
      <c r="C796" s="10"/>
      <c r="D796" s="73"/>
      <c r="E796" s="74"/>
    </row>
    <row r="797">
      <c r="C797" s="10"/>
      <c r="D797" s="73"/>
      <c r="E797" s="74"/>
    </row>
    <row r="798">
      <c r="C798" s="10"/>
      <c r="D798" s="73"/>
      <c r="E798" s="74"/>
    </row>
    <row r="799">
      <c r="C799" s="10"/>
      <c r="D799" s="73"/>
      <c r="E799" s="74"/>
    </row>
    <row r="800">
      <c r="C800" s="10"/>
      <c r="D800" s="73"/>
      <c r="E800" s="74"/>
    </row>
    <row r="801">
      <c r="C801" s="10"/>
      <c r="D801" s="73"/>
      <c r="E801" s="74"/>
    </row>
    <row r="802">
      <c r="C802" s="10"/>
      <c r="D802" s="73"/>
      <c r="E802" s="74"/>
    </row>
    <row r="803">
      <c r="C803" s="10"/>
      <c r="D803" s="73"/>
      <c r="E803" s="74"/>
    </row>
    <row r="804">
      <c r="C804" s="10"/>
      <c r="D804" s="73"/>
      <c r="E804" s="74"/>
    </row>
    <row r="805">
      <c r="C805" s="10"/>
      <c r="D805" s="73"/>
      <c r="E805" s="74"/>
    </row>
    <row r="806">
      <c r="C806" s="10"/>
      <c r="D806" s="73"/>
      <c r="E806" s="74"/>
    </row>
    <row r="807">
      <c r="C807" s="10"/>
      <c r="D807" s="73"/>
      <c r="E807" s="74"/>
    </row>
    <row r="808">
      <c r="C808" s="10"/>
      <c r="D808" s="73"/>
      <c r="E808" s="74"/>
    </row>
    <row r="809">
      <c r="C809" s="10"/>
      <c r="D809" s="73"/>
      <c r="E809" s="74"/>
    </row>
    <row r="810">
      <c r="C810" s="10"/>
      <c r="D810" s="73"/>
      <c r="E810" s="74"/>
    </row>
    <row r="811">
      <c r="C811" s="10"/>
      <c r="D811" s="73"/>
      <c r="E811" s="74"/>
    </row>
    <row r="812">
      <c r="C812" s="10"/>
      <c r="D812" s="73"/>
      <c r="E812" s="74"/>
    </row>
    <row r="813">
      <c r="C813" s="10"/>
      <c r="D813" s="73"/>
      <c r="E813" s="74"/>
    </row>
    <row r="814">
      <c r="C814" s="10"/>
      <c r="D814" s="73"/>
      <c r="E814" s="74"/>
    </row>
    <row r="815">
      <c r="C815" s="10"/>
      <c r="D815" s="73"/>
      <c r="E815" s="74"/>
    </row>
    <row r="816">
      <c r="C816" s="10"/>
      <c r="D816" s="73"/>
      <c r="E816" s="74"/>
    </row>
    <row r="817">
      <c r="C817" s="10"/>
      <c r="D817" s="73"/>
      <c r="E817" s="74"/>
    </row>
    <row r="818">
      <c r="C818" s="10"/>
      <c r="D818" s="73"/>
      <c r="E818" s="74"/>
    </row>
    <row r="819">
      <c r="C819" s="10"/>
      <c r="D819" s="73"/>
      <c r="E819" s="74"/>
    </row>
    <row r="820">
      <c r="C820" s="10"/>
      <c r="D820" s="73"/>
      <c r="E820" s="74"/>
    </row>
    <row r="821">
      <c r="C821" s="10"/>
      <c r="D821" s="73"/>
      <c r="E821" s="74"/>
    </row>
    <row r="822">
      <c r="C822" s="10"/>
      <c r="D822" s="73"/>
      <c r="E822" s="74"/>
    </row>
    <row r="823">
      <c r="C823" s="10"/>
      <c r="D823" s="73"/>
      <c r="E823" s="74"/>
    </row>
    <row r="824">
      <c r="C824" s="10"/>
      <c r="D824" s="73"/>
      <c r="E824" s="74"/>
    </row>
    <row r="825">
      <c r="C825" s="10"/>
      <c r="D825" s="73"/>
      <c r="E825" s="74"/>
    </row>
    <row r="826">
      <c r="C826" s="10"/>
      <c r="D826" s="73"/>
      <c r="E826" s="74"/>
    </row>
    <row r="827">
      <c r="C827" s="10"/>
      <c r="D827" s="73"/>
      <c r="E827" s="74"/>
    </row>
    <row r="828">
      <c r="C828" s="10"/>
      <c r="D828" s="73"/>
      <c r="E828" s="74"/>
    </row>
    <row r="829">
      <c r="C829" s="10"/>
      <c r="D829" s="73"/>
      <c r="E829" s="74"/>
    </row>
    <row r="830">
      <c r="C830" s="10"/>
      <c r="D830" s="73"/>
      <c r="E830" s="74"/>
    </row>
    <row r="831">
      <c r="C831" s="10"/>
      <c r="D831" s="73"/>
      <c r="E831" s="74"/>
    </row>
    <row r="832">
      <c r="C832" s="10"/>
      <c r="D832" s="73"/>
      <c r="E832" s="74"/>
    </row>
    <row r="833">
      <c r="C833" s="10"/>
      <c r="D833" s="73"/>
      <c r="E833" s="74"/>
    </row>
    <row r="834">
      <c r="C834" s="10"/>
      <c r="D834" s="73"/>
      <c r="E834" s="74"/>
    </row>
    <row r="835">
      <c r="C835" s="10"/>
      <c r="D835" s="73"/>
      <c r="E835" s="74"/>
    </row>
    <row r="836">
      <c r="C836" s="10"/>
      <c r="D836" s="73"/>
      <c r="E836" s="74"/>
    </row>
    <row r="837">
      <c r="C837" s="10"/>
      <c r="D837" s="73"/>
      <c r="E837" s="74"/>
    </row>
    <row r="838">
      <c r="C838" s="10"/>
      <c r="D838" s="73"/>
      <c r="E838" s="74"/>
    </row>
    <row r="839">
      <c r="C839" s="10"/>
      <c r="D839" s="73"/>
      <c r="E839" s="74"/>
    </row>
    <row r="840">
      <c r="C840" s="10"/>
      <c r="D840" s="73"/>
      <c r="E840" s="74"/>
    </row>
    <row r="841">
      <c r="C841" s="10"/>
      <c r="D841" s="73"/>
      <c r="E841" s="74"/>
    </row>
    <row r="842">
      <c r="C842" s="10"/>
      <c r="D842" s="73"/>
      <c r="E842" s="74"/>
    </row>
    <row r="843">
      <c r="C843" s="10"/>
      <c r="D843" s="73"/>
      <c r="E843" s="74"/>
    </row>
    <row r="844">
      <c r="C844" s="10"/>
      <c r="D844" s="73"/>
      <c r="E844" s="74"/>
    </row>
    <row r="845">
      <c r="C845" s="10"/>
      <c r="D845" s="73"/>
      <c r="E845" s="74"/>
    </row>
    <row r="846">
      <c r="C846" s="10"/>
      <c r="D846" s="73"/>
      <c r="E846" s="74"/>
    </row>
    <row r="847">
      <c r="C847" s="10"/>
      <c r="D847" s="73"/>
      <c r="E847" s="74"/>
    </row>
    <row r="848">
      <c r="C848" s="10"/>
      <c r="D848" s="73"/>
      <c r="E848" s="74"/>
    </row>
    <row r="849">
      <c r="C849" s="10"/>
      <c r="D849" s="73"/>
      <c r="E849" s="74"/>
    </row>
    <row r="850">
      <c r="C850" s="10"/>
      <c r="D850" s="73"/>
      <c r="E850" s="74"/>
    </row>
    <row r="851">
      <c r="C851" s="10"/>
      <c r="D851" s="73"/>
      <c r="E851" s="74"/>
    </row>
    <row r="852">
      <c r="C852" s="10"/>
      <c r="D852" s="73"/>
      <c r="E852" s="74"/>
    </row>
    <row r="853">
      <c r="C853" s="10"/>
      <c r="D853" s="73"/>
      <c r="E853" s="74"/>
    </row>
    <row r="854">
      <c r="C854" s="10"/>
      <c r="D854" s="73"/>
      <c r="E854" s="74"/>
    </row>
    <row r="855">
      <c r="C855" s="10"/>
      <c r="D855" s="73"/>
      <c r="E855" s="74"/>
    </row>
    <row r="856">
      <c r="C856" s="10"/>
      <c r="D856" s="73"/>
      <c r="E856" s="74"/>
    </row>
    <row r="857">
      <c r="C857" s="10"/>
      <c r="D857" s="73"/>
      <c r="E857" s="74"/>
    </row>
    <row r="858">
      <c r="C858" s="10"/>
      <c r="D858" s="73"/>
      <c r="E858" s="74"/>
    </row>
    <row r="859">
      <c r="C859" s="10"/>
      <c r="D859" s="73"/>
      <c r="E859" s="74"/>
    </row>
    <row r="860">
      <c r="C860" s="10"/>
      <c r="D860" s="73"/>
      <c r="E860" s="74"/>
    </row>
    <row r="861">
      <c r="C861" s="10"/>
      <c r="D861" s="73"/>
      <c r="E861" s="74"/>
    </row>
    <row r="862">
      <c r="C862" s="10"/>
      <c r="D862" s="73"/>
      <c r="E862" s="74"/>
    </row>
    <row r="863">
      <c r="C863" s="10"/>
      <c r="D863" s="73"/>
      <c r="E863" s="74"/>
    </row>
    <row r="864">
      <c r="C864" s="10"/>
      <c r="D864" s="73"/>
      <c r="E864" s="74"/>
    </row>
    <row r="865">
      <c r="C865" s="10"/>
      <c r="D865" s="73"/>
      <c r="E865" s="74"/>
    </row>
    <row r="866">
      <c r="C866" s="10"/>
      <c r="D866" s="73"/>
      <c r="E866" s="74"/>
    </row>
    <row r="867">
      <c r="C867" s="10"/>
      <c r="D867" s="73"/>
      <c r="E867" s="74"/>
    </row>
    <row r="868">
      <c r="C868" s="10"/>
      <c r="D868" s="73"/>
      <c r="E868" s="74"/>
    </row>
    <row r="869">
      <c r="C869" s="10"/>
      <c r="D869" s="73"/>
      <c r="E869" s="74"/>
    </row>
    <row r="870">
      <c r="C870" s="10"/>
      <c r="D870" s="73"/>
      <c r="E870" s="74"/>
    </row>
    <row r="871">
      <c r="C871" s="10"/>
      <c r="D871" s="73"/>
      <c r="E871" s="74"/>
    </row>
    <row r="872">
      <c r="C872" s="10"/>
      <c r="D872" s="73"/>
      <c r="E872" s="74"/>
    </row>
    <row r="873">
      <c r="C873" s="10"/>
      <c r="D873" s="73"/>
      <c r="E873" s="74"/>
    </row>
    <row r="874">
      <c r="C874" s="10"/>
      <c r="D874" s="73"/>
      <c r="E874" s="74"/>
    </row>
    <row r="875">
      <c r="C875" s="10"/>
      <c r="D875" s="73"/>
      <c r="E875" s="74"/>
    </row>
    <row r="876">
      <c r="C876" s="10"/>
      <c r="D876" s="73"/>
      <c r="E876" s="74"/>
    </row>
    <row r="877">
      <c r="C877" s="10"/>
      <c r="D877" s="73"/>
      <c r="E877" s="74"/>
    </row>
    <row r="878">
      <c r="C878" s="10"/>
      <c r="D878" s="73"/>
      <c r="E878" s="74"/>
    </row>
    <row r="879">
      <c r="C879" s="10"/>
      <c r="D879" s="73"/>
      <c r="E879" s="74"/>
    </row>
    <row r="880">
      <c r="C880" s="10"/>
      <c r="D880" s="73"/>
      <c r="E880" s="74"/>
    </row>
    <row r="881">
      <c r="C881" s="10"/>
      <c r="D881" s="73"/>
      <c r="E881" s="74"/>
    </row>
    <row r="882">
      <c r="C882" s="10"/>
      <c r="D882" s="73"/>
      <c r="E882" s="74"/>
    </row>
    <row r="883">
      <c r="C883" s="10"/>
      <c r="D883" s="73"/>
      <c r="E883" s="74"/>
    </row>
    <row r="884">
      <c r="C884" s="10"/>
      <c r="D884" s="73"/>
      <c r="E884" s="74"/>
    </row>
    <row r="885">
      <c r="C885" s="10"/>
      <c r="D885" s="73"/>
      <c r="E885" s="74"/>
    </row>
    <row r="886">
      <c r="C886" s="10"/>
      <c r="D886" s="73"/>
      <c r="E886" s="74"/>
    </row>
    <row r="887">
      <c r="C887" s="10"/>
      <c r="D887" s="73"/>
      <c r="E887" s="74"/>
    </row>
    <row r="888">
      <c r="C888" s="10"/>
      <c r="D888" s="73"/>
      <c r="E888" s="74"/>
    </row>
    <row r="889">
      <c r="C889" s="10"/>
      <c r="D889" s="73"/>
      <c r="E889" s="74"/>
    </row>
    <row r="890">
      <c r="C890" s="10"/>
      <c r="D890" s="73"/>
      <c r="E890" s="74"/>
    </row>
    <row r="891">
      <c r="C891" s="10"/>
      <c r="D891" s="73"/>
      <c r="E891" s="74"/>
    </row>
    <row r="892">
      <c r="C892" s="10"/>
      <c r="D892" s="73"/>
      <c r="E892" s="74"/>
    </row>
    <row r="893">
      <c r="C893" s="10"/>
      <c r="D893" s="73"/>
      <c r="E893" s="74"/>
    </row>
    <row r="894">
      <c r="C894" s="10"/>
      <c r="D894" s="73"/>
      <c r="E894" s="74"/>
    </row>
    <row r="895">
      <c r="C895" s="10"/>
      <c r="D895" s="73"/>
      <c r="E895" s="74"/>
    </row>
    <row r="896">
      <c r="C896" s="10"/>
      <c r="D896" s="73"/>
      <c r="E896" s="74"/>
    </row>
    <row r="897">
      <c r="C897" s="10"/>
      <c r="D897" s="73"/>
      <c r="E897" s="74"/>
    </row>
    <row r="898">
      <c r="C898" s="10"/>
      <c r="D898" s="73"/>
      <c r="E898" s="74"/>
    </row>
    <row r="899">
      <c r="C899" s="10"/>
      <c r="D899" s="73"/>
      <c r="E899" s="74"/>
    </row>
    <row r="900">
      <c r="C900" s="10"/>
      <c r="D900" s="73"/>
      <c r="E900" s="74"/>
    </row>
    <row r="901">
      <c r="C901" s="10"/>
      <c r="D901" s="73"/>
      <c r="E901" s="74"/>
    </row>
    <row r="902">
      <c r="C902" s="10"/>
      <c r="D902" s="73"/>
      <c r="E902" s="74"/>
    </row>
    <row r="903">
      <c r="C903" s="10"/>
      <c r="D903" s="73"/>
      <c r="E903" s="74"/>
    </row>
    <row r="904">
      <c r="C904" s="10"/>
      <c r="D904" s="73"/>
      <c r="E904" s="74"/>
    </row>
    <row r="905">
      <c r="C905" s="10"/>
      <c r="D905" s="73"/>
      <c r="E905" s="74"/>
    </row>
    <row r="906">
      <c r="C906" s="10"/>
      <c r="D906" s="73"/>
      <c r="E906" s="74"/>
    </row>
    <row r="907">
      <c r="C907" s="10"/>
      <c r="D907" s="73"/>
      <c r="E907" s="74"/>
    </row>
    <row r="908">
      <c r="C908" s="10"/>
      <c r="D908" s="73"/>
      <c r="E908" s="74"/>
    </row>
    <row r="909">
      <c r="C909" s="10"/>
      <c r="D909" s="73"/>
      <c r="E909" s="74"/>
    </row>
    <row r="910">
      <c r="C910" s="10"/>
      <c r="D910" s="73"/>
      <c r="E910" s="74"/>
    </row>
    <row r="911">
      <c r="C911" s="10"/>
      <c r="D911" s="73"/>
      <c r="E911" s="74"/>
    </row>
    <row r="912">
      <c r="C912" s="10"/>
      <c r="D912" s="73"/>
      <c r="E912" s="74"/>
    </row>
    <row r="913">
      <c r="C913" s="10"/>
      <c r="D913" s="73"/>
      <c r="E913" s="74"/>
    </row>
    <row r="914">
      <c r="C914" s="10"/>
      <c r="D914" s="73"/>
      <c r="E914" s="74"/>
    </row>
    <row r="915">
      <c r="C915" s="10"/>
      <c r="D915" s="73"/>
      <c r="E915" s="74"/>
    </row>
    <row r="916">
      <c r="C916" s="10"/>
      <c r="D916" s="73"/>
      <c r="E916" s="74"/>
    </row>
    <row r="917">
      <c r="C917" s="10"/>
      <c r="D917" s="73"/>
      <c r="E917" s="74"/>
    </row>
    <row r="918">
      <c r="C918" s="10"/>
      <c r="D918" s="73"/>
      <c r="E918" s="74"/>
    </row>
    <row r="919">
      <c r="C919" s="10"/>
      <c r="D919" s="73"/>
      <c r="E919" s="74"/>
    </row>
    <row r="920">
      <c r="C920" s="10"/>
      <c r="D920" s="73"/>
      <c r="E920" s="74"/>
    </row>
    <row r="921">
      <c r="C921" s="10"/>
      <c r="D921" s="73"/>
      <c r="E921" s="74"/>
    </row>
    <row r="922">
      <c r="C922" s="10"/>
      <c r="D922" s="73"/>
      <c r="E922" s="74"/>
    </row>
    <row r="923">
      <c r="C923" s="10"/>
      <c r="D923" s="73"/>
      <c r="E923" s="74"/>
    </row>
    <row r="924">
      <c r="C924" s="10"/>
      <c r="D924" s="73"/>
      <c r="E924" s="74"/>
    </row>
    <row r="925">
      <c r="C925" s="10"/>
      <c r="D925" s="73"/>
      <c r="E925" s="74"/>
    </row>
    <row r="926">
      <c r="C926" s="10"/>
      <c r="D926" s="73"/>
      <c r="E926" s="74"/>
    </row>
    <row r="927">
      <c r="C927" s="10"/>
      <c r="D927" s="73"/>
      <c r="E927" s="74"/>
    </row>
    <row r="928">
      <c r="C928" s="10"/>
      <c r="D928" s="73"/>
      <c r="E928" s="74"/>
    </row>
    <row r="929">
      <c r="C929" s="10"/>
      <c r="D929" s="73"/>
      <c r="E929" s="74"/>
    </row>
    <row r="930">
      <c r="C930" s="10"/>
      <c r="D930" s="73"/>
      <c r="E930" s="74"/>
    </row>
    <row r="931">
      <c r="C931" s="10"/>
      <c r="D931" s="73"/>
      <c r="E931" s="74"/>
    </row>
    <row r="932">
      <c r="C932" s="10"/>
      <c r="D932" s="73"/>
      <c r="E932" s="74"/>
    </row>
    <row r="933">
      <c r="C933" s="10"/>
      <c r="D933" s="73"/>
      <c r="E933" s="74"/>
    </row>
    <row r="934">
      <c r="C934" s="10"/>
      <c r="D934" s="73"/>
      <c r="E934" s="74"/>
    </row>
    <row r="935">
      <c r="C935" s="10"/>
      <c r="D935" s="73"/>
      <c r="E935" s="74"/>
    </row>
    <row r="936">
      <c r="C936" s="10"/>
      <c r="D936" s="73"/>
      <c r="E936" s="74"/>
    </row>
    <row r="937">
      <c r="C937" s="10"/>
      <c r="D937" s="73"/>
      <c r="E937" s="74"/>
    </row>
    <row r="938">
      <c r="C938" s="10"/>
      <c r="D938" s="73"/>
      <c r="E938" s="74"/>
    </row>
    <row r="939">
      <c r="C939" s="10"/>
      <c r="D939" s="73"/>
      <c r="E939" s="74"/>
    </row>
    <row r="940">
      <c r="C940" s="10"/>
      <c r="D940" s="73"/>
      <c r="E940" s="74"/>
    </row>
    <row r="941">
      <c r="C941" s="10"/>
      <c r="D941" s="73"/>
      <c r="E941" s="74"/>
    </row>
    <row r="942">
      <c r="C942" s="10"/>
      <c r="D942" s="73"/>
      <c r="E942" s="74"/>
    </row>
    <row r="943">
      <c r="C943" s="10"/>
      <c r="D943" s="73"/>
      <c r="E943" s="74"/>
    </row>
    <row r="944">
      <c r="C944" s="10"/>
      <c r="D944" s="73"/>
      <c r="E944" s="74"/>
    </row>
    <row r="945">
      <c r="C945" s="10"/>
      <c r="D945" s="73"/>
      <c r="E945" s="74"/>
    </row>
    <row r="946">
      <c r="C946" s="10"/>
      <c r="D946" s="73"/>
      <c r="E946" s="74"/>
    </row>
    <row r="947">
      <c r="C947" s="10"/>
      <c r="D947" s="73"/>
      <c r="E947" s="74"/>
    </row>
    <row r="948">
      <c r="C948" s="10"/>
      <c r="D948" s="73"/>
      <c r="E948" s="74"/>
    </row>
    <row r="949">
      <c r="C949" s="10"/>
      <c r="D949" s="73"/>
      <c r="E949" s="74"/>
    </row>
    <row r="950">
      <c r="C950" s="10"/>
      <c r="D950" s="73"/>
      <c r="E950" s="74"/>
    </row>
    <row r="951">
      <c r="C951" s="10"/>
      <c r="D951" s="73"/>
      <c r="E951" s="74"/>
    </row>
    <row r="952">
      <c r="C952" s="10"/>
      <c r="D952" s="73"/>
      <c r="E952" s="74"/>
    </row>
    <row r="953">
      <c r="C953" s="10"/>
      <c r="D953" s="73"/>
      <c r="E953" s="74"/>
    </row>
    <row r="954">
      <c r="C954" s="10"/>
      <c r="D954" s="73"/>
      <c r="E954" s="74"/>
    </row>
    <row r="955">
      <c r="C955" s="10"/>
      <c r="D955" s="73"/>
      <c r="E955" s="74"/>
    </row>
    <row r="956">
      <c r="C956" s="10"/>
      <c r="D956" s="73"/>
      <c r="E956" s="74"/>
    </row>
    <row r="957">
      <c r="C957" s="10"/>
      <c r="D957" s="73"/>
      <c r="E957" s="74"/>
    </row>
    <row r="958">
      <c r="C958" s="10"/>
      <c r="D958" s="73"/>
      <c r="E958" s="74"/>
    </row>
    <row r="959">
      <c r="C959" s="10"/>
      <c r="D959" s="73"/>
      <c r="E959" s="74"/>
    </row>
    <row r="960">
      <c r="C960" s="10"/>
      <c r="D960" s="73"/>
      <c r="E960" s="74"/>
    </row>
    <row r="961">
      <c r="C961" s="10"/>
      <c r="D961" s="73"/>
      <c r="E961" s="74"/>
    </row>
    <row r="962">
      <c r="C962" s="10"/>
      <c r="D962" s="73"/>
      <c r="E962" s="74"/>
    </row>
    <row r="963">
      <c r="C963" s="10"/>
      <c r="D963" s="73"/>
      <c r="E963" s="74"/>
    </row>
    <row r="964">
      <c r="C964" s="10"/>
      <c r="D964" s="73"/>
      <c r="E964" s="74"/>
    </row>
    <row r="965">
      <c r="C965" s="10"/>
      <c r="D965" s="73"/>
      <c r="E965" s="74"/>
    </row>
    <row r="966">
      <c r="C966" s="10"/>
      <c r="D966" s="73"/>
      <c r="E966" s="74"/>
    </row>
    <row r="967">
      <c r="C967" s="10"/>
      <c r="D967" s="73"/>
      <c r="E967" s="74"/>
    </row>
    <row r="968">
      <c r="C968" s="10"/>
      <c r="D968" s="73"/>
      <c r="E968" s="74"/>
    </row>
    <row r="969">
      <c r="C969" s="10"/>
      <c r="D969" s="73"/>
      <c r="E969" s="74"/>
    </row>
    <row r="970">
      <c r="C970" s="10"/>
      <c r="D970" s="73"/>
      <c r="E970" s="74"/>
    </row>
    <row r="971">
      <c r="C971" s="10"/>
      <c r="D971" s="73"/>
      <c r="E971" s="74"/>
    </row>
    <row r="972">
      <c r="C972" s="10"/>
      <c r="D972" s="73"/>
      <c r="E972" s="74"/>
    </row>
    <row r="973">
      <c r="C973" s="10"/>
      <c r="D973" s="73"/>
      <c r="E973" s="74"/>
    </row>
    <row r="974">
      <c r="C974" s="10"/>
      <c r="D974" s="73"/>
      <c r="E974" s="74"/>
    </row>
    <row r="975">
      <c r="C975" s="10"/>
      <c r="D975" s="73"/>
      <c r="E975" s="74"/>
    </row>
    <row r="976">
      <c r="C976" s="10"/>
      <c r="D976" s="73"/>
      <c r="E976" s="74"/>
    </row>
    <row r="977">
      <c r="C977" s="10"/>
      <c r="D977" s="73"/>
      <c r="E977" s="74"/>
    </row>
    <row r="978">
      <c r="C978" s="10"/>
      <c r="D978" s="73"/>
      <c r="E978" s="74"/>
    </row>
    <row r="979">
      <c r="C979" s="10"/>
      <c r="D979" s="73"/>
      <c r="E979" s="74"/>
    </row>
    <row r="980">
      <c r="C980" s="10"/>
      <c r="D980" s="73"/>
      <c r="E980" s="74"/>
    </row>
    <row r="981">
      <c r="C981" s="10"/>
      <c r="D981" s="73"/>
      <c r="E981" s="74"/>
    </row>
    <row r="982">
      <c r="C982" s="10"/>
      <c r="D982" s="73"/>
      <c r="E982" s="74"/>
    </row>
    <row r="983">
      <c r="C983" s="10"/>
      <c r="D983" s="73"/>
      <c r="E983" s="74"/>
    </row>
    <row r="984">
      <c r="C984" s="10"/>
      <c r="D984" s="73"/>
      <c r="E984" s="74"/>
    </row>
    <row r="985">
      <c r="C985" s="10"/>
      <c r="D985" s="73"/>
      <c r="E985" s="74"/>
    </row>
    <row r="986">
      <c r="C986" s="10"/>
      <c r="D986" s="73"/>
      <c r="E986" s="74"/>
    </row>
    <row r="987">
      <c r="C987" s="10"/>
      <c r="D987" s="73"/>
      <c r="E987" s="74"/>
    </row>
    <row r="988">
      <c r="C988" s="10"/>
      <c r="D988" s="73"/>
      <c r="E988" s="74"/>
    </row>
    <row r="989">
      <c r="C989" s="10"/>
      <c r="D989" s="73"/>
      <c r="E989" s="74"/>
    </row>
    <row r="990">
      <c r="C990" s="10"/>
      <c r="D990" s="73"/>
      <c r="E990" s="74"/>
    </row>
    <row r="991">
      <c r="C991" s="10"/>
      <c r="D991" s="73"/>
      <c r="E991" s="74"/>
    </row>
    <row r="992">
      <c r="C992" s="10"/>
      <c r="D992" s="73"/>
      <c r="E992" s="74"/>
    </row>
    <row r="993">
      <c r="C993" s="10"/>
      <c r="D993" s="73"/>
      <c r="E993" s="74"/>
    </row>
    <row r="994">
      <c r="C994" s="10"/>
      <c r="D994" s="73"/>
      <c r="E994" s="74"/>
    </row>
    <row r="995">
      <c r="C995" s="10"/>
      <c r="D995" s="73"/>
      <c r="E995" s="74"/>
    </row>
    <row r="996">
      <c r="C996" s="10"/>
      <c r="D996" s="73"/>
      <c r="E996" s="74"/>
    </row>
    <row r="997">
      <c r="C997" s="10"/>
      <c r="D997" s="73"/>
      <c r="E997" s="74"/>
    </row>
    <row r="998">
      <c r="C998" s="10"/>
      <c r="D998" s="73"/>
      <c r="E998" s="74"/>
    </row>
    <row r="999">
      <c r="C999" s="10"/>
      <c r="D999" s="73"/>
      <c r="E999" s="74"/>
    </row>
    <row r="1000">
      <c r="C1000" s="10"/>
      <c r="D1000" s="73"/>
      <c r="E1000" s="74"/>
    </row>
    <row r="1001">
      <c r="C1001" s="10"/>
      <c r="D1001" s="73"/>
      <c r="E1001" s="74"/>
    </row>
    <row r="1002">
      <c r="C1002" s="10"/>
      <c r="D1002" s="73"/>
      <c r="E1002" s="74"/>
    </row>
    <row r="1003">
      <c r="C1003" s="10"/>
      <c r="D1003" s="73"/>
      <c r="E1003" s="74"/>
    </row>
    <row r="1004">
      <c r="C1004" s="10"/>
      <c r="D1004" s="73"/>
      <c r="E1004" s="74"/>
    </row>
    <row r="1005">
      <c r="C1005" s="10"/>
      <c r="D1005" s="73"/>
      <c r="E1005" s="74"/>
    </row>
    <row r="1006">
      <c r="C1006" s="10"/>
      <c r="D1006" s="73"/>
      <c r="E1006" s="74"/>
    </row>
    <row r="1007">
      <c r="C1007" s="10"/>
      <c r="D1007" s="73"/>
      <c r="E1007" s="74"/>
    </row>
    <row r="1008">
      <c r="C1008" s="10"/>
      <c r="D1008" s="73"/>
      <c r="E1008" s="74"/>
    </row>
    <row r="1009">
      <c r="C1009" s="10"/>
      <c r="D1009" s="73"/>
      <c r="E1009" s="74"/>
    </row>
    <row r="1010">
      <c r="C1010" s="10"/>
      <c r="D1010" s="73"/>
      <c r="E1010" s="74"/>
    </row>
    <row r="1011">
      <c r="C1011" s="10"/>
      <c r="D1011" s="73"/>
      <c r="E1011" s="74"/>
    </row>
    <row r="1012">
      <c r="C1012" s="10"/>
      <c r="D1012" s="73"/>
      <c r="E1012" s="74"/>
    </row>
    <row r="1013">
      <c r="C1013" s="10"/>
      <c r="D1013" s="73"/>
      <c r="E1013" s="74"/>
    </row>
    <row r="1014">
      <c r="C1014" s="10"/>
      <c r="D1014" s="73"/>
      <c r="E1014" s="74"/>
    </row>
  </sheetData>
  <mergeCells count="17">
    <mergeCell ref="A1:D1"/>
    <mergeCell ref="A11:E11"/>
    <mergeCell ref="G11:N11"/>
    <mergeCell ref="A13:A15"/>
    <mergeCell ref="A16:B16"/>
    <mergeCell ref="A17:B17"/>
    <mergeCell ref="A19:E19"/>
    <mergeCell ref="A39:E39"/>
    <mergeCell ref="D40:E40"/>
    <mergeCell ref="D41:E41"/>
    <mergeCell ref="A21:A23"/>
    <mergeCell ref="A24:B24"/>
    <mergeCell ref="A25:B25"/>
    <mergeCell ref="A27:E27"/>
    <mergeCell ref="A29:A31"/>
    <mergeCell ref="A33:E33"/>
    <mergeCell ref="A35:A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6.88"/>
    <col customWidth="1" min="2" max="2" width="31.38"/>
    <col customWidth="1" min="3" max="6" width="8.88"/>
    <col customWidth="1" min="7" max="11" width="11.38"/>
    <col customWidth="1" min="16" max="16" width="1.38"/>
  </cols>
  <sheetData>
    <row r="1" ht="22.5" customHeight="1">
      <c r="A1" s="85" t="s">
        <v>72</v>
      </c>
      <c r="B1" s="31"/>
      <c r="C1" s="40"/>
      <c r="D1" s="40"/>
      <c r="E1" s="86" t="s">
        <v>73</v>
      </c>
      <c r="F1" s="31"/>
      <c r="G1" s="87" t="s">
        <v>50</v>
      </c>
      <c r="H1" s="31"/>
      <c r="I1" s="40"/>
      <c r="L1" s="86" t="s">
        <v>74</v>
      </c>
      <c r="M1" s="31"/>
      <c r="N1" s="88" t="s">
        <v>75</v>
      </c>
    </row>
    <row r="2" ht="22.5" customHeight="1">
      <c r="A2" s="89" t="s">
        <v>72</v>
      </c>
      <c r="B2" s="90" t="s">
        <v>43</v>
      </c>
      <c r="C2" s="40"/>
      <c r="D2" s="40"/>
      <c r="E2" s="89" t="s">
        <v>73</v>
      </c>
      <c r="F2" s="89" t="s">
        <v>76</v>
      </c>
      <c r="G2" s="91" t="s">
        <v>73</v>
      </c>
      <c r="H2" s="92" t="s">
        <v>77</v>
      </c>
      <c r="I2" s="89" t="s">
        <v>78</v>
      </c>
      <c r="J2" s="45" t="s">
        <v>76</v>
      </c>
      <c r="L2" s="89" t="s">
        <v>73</v>
      </c>
      <c r="M2" s="89" t="s">
        <v>79</v>
      </c>
      <c r="N2" s="89" t="s">
        <v>14</v>
      </c>
      <c r="O2" s="45" t="s">
        <v>76</v>
      </c>
    </row>
    <row r="3" ht="15.0" customHeight="1">
      <c r="A3" s="13">
        <v>50.0</v>
      </c>
      <c r="B3" s="93">
        <v>15.2</v>
      </c>
      <c r="C3" s="40"/>
      <c r="D3" s="40"/>
      <c r="E3" s="94" t="s">
        <v>80</v>
      </c>
      <c r="F3" s="95">
        <f>SUM(ACABAMENTO!B9)</f>
        <v>15</v>
      </c>
      <c r="G3" s="96" t="s">
        <v>81</v>
      </c>
      <c r="H3" s="97">
        <v>0.5</v>
      </c>
      <c r="I3" s="98">
        <v>0.0</v>
      </c>
      <c r="J3" s="20">
        <f t="shared" ref="J3:J4" si="1">SUM(H3*I3)</f>
        <v>0</v>
      </c>
      <c r="L3" s="13" t="s">
        <v>81</v>
      </c>
      <c r="M3" s="15">
        <f>SUM(ACABAMENTO!C24)</f>
        <v>0.85</v>
      </c>
      <c r="N3" s="99">
        <v>0.0</v>
      </c>
      <c r="O3" s="100">
        <f t="shared" ref="O3:O4" si="2">SUM(M3*N3)</f>
        <v>0</v>
      </c>
    </row>
    <row r="4" ht="15.0" customHeight="1">
      <c r="A4" s="13">
        <v>100.0</v>
      </c>
      <c r="B4" s="93">
        <v>21.5</v>
      </c>
      <c r="C4" s="40"/>
      <c r="D4" s="40"/>
      <c r="E4" s="57"/>
      <c r="F4" s="57"/>
      <c r="G4" s="96" t="s">
        <v>82</v>
      </c>
      <c r="H4" s="97">
        <v>1.0</v>
      </c>
      <c r="I4" s="101">
        <v>24.0</v>
      </c>
      <c r="J4" s="20">
        <f t="shared" si="1"/>
        <v>24</v>
      </c>
      <c r="L4" s="13" t="s">
        <v>82</v>
      </c>
      <c r="M4" s="15">
        <f>SUM(ACABAMENTO!C25)</f>
        <v>1.7</v>
      </c>
      <c r="N4" s="102">
        <v>12.0</v>
      </c>
      <c r="O4" s="100">
        <f t="shared" si="2"/>
        <v>20.4</v>
      </c>
    </row>
    <row r="5" ht="15.0" customHeight="1">
      <c r="A5" s="13">
        <v>200.0</v>
      </c>
      <c r="B5" s="93">
        <v>39.7</v>
      </c>
      <c r="C5" s="40"/>
      <c r="D5" s="40"/>
      <c r="E5" s="40"/>
      <c r="F5" s="40"/>
      <c r="G5" s="103"/>
      <c r="H5" s="104" t="s">
        <v>83</v>
      </c>
      <c r="J5" s="105">
        <f>SUM(J3:J4)</f>
        <v>24</v>
      </c>
      <c r="K5" s="106"/>
      <c r="M5" s="107"/>
      <c r="O5" s="108">
        <f>SUM(O3:O4)</f>
        <v>20.4</v>
      </c>
    </row>
    <row r="6" ht="15.0" customHeight="1">
      <c r="A6" s="13">
        <v>300.0</v>
      </c>
      <c r="B6" s="93">
        <v>50.0</v>
      </c>
      <c r="C6" s="40"/>
      <c r="D6" s="40"/>
      <c r="E6" s="109"/>
      <c r="F6" s="109"/>
      <c r="G6" s="40"/>
      <c r="H6" s="103"/>
      <c r="I6" s="103"/>
      <c r="J6" s="110"/>
      <c r="K6" s="106"/>
      <c r="L6" s="111" t="s">
        <v>84</v>
      </c>
    </row>
    <row r="7" ht="15.0" customHeight="1">
      <c r="A7" s="13">
        <v>400.0</v>
      </c>
      <c r="B7" s="93">
        <v>66.2</v>
      </c>
      <c r="C7" s="40"/>
      <c r="D7" s="40"/>
      <c r="E7" s="86" t="s">
        <v>85</v>
      </c>
      <c r="F7" s="30"/>
      <c r="G7" s="31"/>
      <c r="H7" s="103"/>
      <c r="I7" s="103"/>
      <c r="J7" s="110"/>
      <c r="K7" s="106"/>
      <c r="L7" s="57"/>
      <c r="M7" s="11" t="s">
        <v>86</v>
      </c>
      <c r="N7" s="11" t="s">
        <v>87</v>
      </c>
      <c r="O7" s="11" t="s">
        <v>76</v>
      </c>
      <c r="Q7" s="112" t="s">
        <v>88</v>
      </c>
      <c r="R7" s="112" t="s">
        <v>89</v>
      </c>
      <c r="S7" s="112" t="s">
        <v>90</v>
      </c>
    </row>
    <row r="8" ht="15.0" customHeight="1">
      <c r="A8" s="13">
        <v>500.0</v>
      </c>
      <c r="B8" s="93">
        <v>77.35</v>
      </c>
      <c r="C8" s="40"/>
      <c r="D8" s="40"/>
      <c r="E8" s="113">
        <v>21.0</v>
      </c>
      <c r="F8" s="30"/>
      <c r="G8" s="31"/>
      <c r="H8" s="103"/>
      <c r="I8" s="103"/>
      <c r="J8" s="110"/>
      <c r="K8" s="106"/>
      <c r="L8" s="114" t="s">
        <v>91</v>
      </c>
      <c r="M8" s="115">
        <v>12.0</v>
      </c>
      <c r="N8" s="116">
        <f>SUM(PAPEL!G12)</f>
        <v>0.6696</v>
      </c>
      <c r="O8" s="100">
        <f>SUM((M8*2)*N8)</f>
        <v>16.0704</v>
      </c>
      <c r="Q8" s="57"/>
      <c r="R8" s="57"/>
      <c r="S8" s="57"/>
    </row>
    <row r="9" ht="15.0" customHeight="1">
      <c r="A9" s="13">
        <v>1000.0</v>
      </c>
      <c r="B9" s="93">
        <v>128.2</v>
      </c>
      <c r="C9" s="40"/>
      <c r="D9" s="40"/>
      <c r="E9" s="40"/>
      <c r="F9" s="40"/>
      <c r="G9" s="103"/>
      <c r="H9" s="103"/>
      <c r="I9" s="103"/>
      <c r="J9" s="110"/>
      <c r="K9" s="106"/>
      <c r="L9" s="117" t="s">
        <v>92</v>
      </c>
      <c r="M9" s="115">
        <v>12.0</v>
      </c>
      <c r="N9" s="116">
        <f>SUM(PAPEL!G13)</f>
        <v>0.933875</v>
      </c>
      <c r="O9" s="100">
        <f>SUM(M9*N9)</f>
        <v>11.2065</v>
      </c>
      <c r="Q9" s="44">
        <f>SUM(O8+O9)</f>
        <v>27.2769</v>
      </c>
      <c r="R9" s="44">
        <f>SUM(J20+Q9)</f>
        <v>58.7769</v>
      </c>
      <c r="S9" s="15">
        <f>SUM(R9/D20)</f>
        <v>0.587769</v>
      </c>
    </row>
    <row r="10" ht="15.0" customHeight="1">
      <c r="A10" s="109"/>
      <c r="B10" s="109"/>
      <c r="C10" s="109"/>
      <c r="D10" s="109"/>
      <c r="E10" s="109"/>
      <c r="F10" s="109"/>
      <c r="G10" s="109"/>
      <c r="H10" s="109"/>
      <c r="I10" s="109"/>
      <c r="J10" s="110"/>
      <c r="K10" s="106"/>
    </row>
    <row r="11" ht="15.0" customHeight="1">
      <c r="A11" s="85" t="s">
        <v>93</v>
      </c>
      <c r="B11" s="30"/>
      <c r="C11" s="30"/>
      <c r="D11" s="30"/>
      <c r="E11" s="30"/>
      <c r="F11" s="31"/>
      <c r="G11" s="86" t="s">
        <v>94</v>
      </c>
      <c r="H11" s="30"/>
      <c r="I11" s="31"/>
      <c r="J11" s="110"/>
      <c r="K11" s="106"/>
    </row>
    <row r="12" ht="30.0" customHeight="1">
      <c r="A12" s="1" t="s">
        <v>95</v>
      </c>
      <c r="B12" s="1" t="s">
        <v>96</v>
      </c>
      <c r="C12" s="118" t="s">
        <v>97</v>
      </c>
      <c r="D12" s="118" t="s">
        <v>98</v>
      </c>
      <c r="E12" s="2" t="s">
        <v>99</v>
      </c>
      <c r="F12" s="119" t="s">
        <v>100</v>
      </c>
      <c r="G12" s="1" t="s">
        <v>73</v>
      </c>
      <c r="H12" s="1" t="s">
        <v>101</v>
      </c>
      <c r="I12" s="1" t="s">
        <v>74</v>
      </c>
      <c r="J12" s="120" t="s">
        <v>102</v>
      </c>
      <c r="K12" s="1" t="s">
        <v>103</v>
      </c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</row>
    <row r="13" ht="37.5" customHeight="1">
      <c r="A13" s="122" t="s">
        <v>104</v>
      </c>
      <c r="B13" s="123" t="s">
        <v>105</v>
      </c>
      <c r="C13" s="124"/>
      <c r="D13" s="124">
        <v>50.0</v>
      </c>
      <c r="E13" s="125">
        <v>15.2</v>
      </c>
      <c r="F13" s="126">
        <f>SUM(D13/E8)</f>
        <v>2.380952381</v>
      </c>
      <c r="G13" s="125">
        <v>5.0</v>
      </c>
      <c r="H13" s="125">
        <v>0.0</v>
      </c>
      <c r="I13" s="125">
        <v>0.0</v>
      </c>
      <c r="J13" s="127">
        <f t="shared" ref="J13:J18" si="3">SUM(E13+G13+H13+I13)</f>
        <v>20.2</v>
      </c>
      <c r="K13" s="128">
        <f t="shared" ref="K13:K18" si="4">SUM(J13/D13)</f>
        <v>0.404</v>
      </c>
      <c r="L13" s="129"/>
      <c r="N13" s="129"/>
      <c r="O13" s="129"/>
      <c r="P13" s="129"/>
      <c r="Q13" s="129"/>
      <c r="R13" s="129"/>
      <c r="S13" s="129"/>
      <c r="T13" s="129"/>
      <c r="U13" s="129"/>
      <c r="V13" s="129"/>
    </row>
    <row r="14" ht="37.5" customHeight="1">
      <c r="A14" s="122" t="s">
        <v>104</v>
      </c>
      <c r="B14" s="123" t="s">
        <v>105</v>
      </c>
      <c r="C14" s="124"/>
      <c r="D14" s="124">
        <v>100.0</v>
      </c>
      <c r="E14" s="125">
        <v>21.5</v>
      </c>
      <c r="F14" s="126">
        <f>SUM(D14/E8)</f>
        <v>4.761904762</v>
      </c>
      <c r="G14" s="125">
        <v>5.0</v>
      </c>
      <c r="H14" s="125">
        <v>0.0</v>
      </c>
      <c r="I14" s="125">
        <v>0.0</v>
      </c>
      <c r="J14" s="127">
        <f t="shared" si="3"/>
        <v>26.5</v>
      </c>
      <c r="K14" s="128">
        <f t="shared" si="4"/>
        <v>0.265</v>
      </c>
    </row>
    <row r="15" ht="30.0" customHeight="1">
      <c r="A15" s="122" t="s">
        <v>104</v>
      </c>
      <c r="B15" s="123" t="s">
        <v>105</v>
      </c>
      <c r="C15" s="124"/>
      <c r="D15" s="124">
        <v>250.0</v>
      </c>
      <c r="E15" s="125">
        <v>44.85</v>
      </c>
      <c r="F15" s="126">
        <f>SUM(D15/E8)</f>
        <v>11.9047619</v>
      </c>
      <c r="G15" s="125">
        <v>5.0</v>
      </c>
      <c r="H15" s="125">
        <v>0.0</v>
      </c>
      <c r="I15" s="125">
        <v>0.0</v>
      </c>
      <c r="J15" s="127">
        <f t="shared" si="3"/>
        <v>49.85</v>
      </c>
      <c r="K15" s="128">
        <f t="shared" si="4"/>
        <v>0.1994</v>
      </c>
    </row>
    <row r="16" ht="30.0" customHeight="1">
      <c r="A16" s="122" t="s">
        <v>104</v>
      </c>
      <c r="B16" s="123" t="s">
        <v>105</v>
      </c>
      <c r="C16" s="124"/>
      <c r="D16" s="124">
        <v>500.0</v>
      </c>
      <c r="E16" s="125">
        <v>77.35</v>
      </c>
      <c r="F16" s="126">
        <f>SUM(D16/E8)</f>
        <v>23.80952381</v>
      </c>
      <c r="G16" s="125">
        <v>15.0</v>
      </c>
      <c r="H16" s="125">
        <v>0.0</v>
      </c>
      <c r="I16" s="125">
        <v>0.0</v>
      </c>
      <c r="J16" s="127">
        <f t="shared" si="3"/>
        <v>92.35</v>
      </c>
      <c r="K16" s="128">
        <f t="shared" si="4"/>
        <v>0.1847</v>
      </c>
    </row>
    <row r="17" ht="30.0" customHeight="1">
      <c r="A17" s="122" t="s">
        <v>104</v>
      </c>
      <c r="B17" s="123" t="s">
        <v>105</v>
      </c>
      <c r="C17" s="124"/>
      <c r="D17" s="124">
        <v>750.0</v>
      </c>
      <c r="E17" s="125">
        <v>102.78</v>
      </c>
      <c r="F17" s="126">
        <f>SUM(D17/E8)</f>
        <v>35.71428571</v>
      </c>
      <c r="G17" s="125">
        <v>15.0</v>
      </c>
      <c r="H17" s="125">
        <v>0.0</v>
      </c>
      <c r="I17" s="125">
        <v>0.0</v>
      </c>
      <c r="J17" s="127">
        <f t="shared" si="3"/>
        <v>117.78</v>
      </c>
      <c r="K17" s="128">
        <f t="shared" si="4"/>
        <v>0.15704</v>
      </c>
    </row>
    <row r="18" ht="30.0" customHeight="1">
      <c r="A18" s="122" t="s">
        <v>104</v>
      </c>
      <c r="B18" s="123" t="s">
        <v>105</v>
      </c>
      <c r="C18" s="124"/>
      <c r="D18" s="124">
        <v>1000.0</v>
      </c>
      <c r="E18" s="125">
        <v>128.2</v>
      </c>
      <c r="F18" s="126">
        <f>SUM(D18/E8)</f>
        <v>47.61904762</v>
      </c>
      <c r="G18" s="125">
        <v>15.0</v>
      </c>
      <c r="H18" s="125">
        <v>0.0</v>
      </c>
      <c r="I18" s="125">
        <v>0.0</v>
      </c>
      <c r="J18" s="127">
        <f t="shared" si="3"/>
        <v>143.2</v>
      </c>
      <c r="K18" s="128">
        <f t="shared" si="4"/>
        <v>0.1432</v>
      </c>
    </row>
    <row r="19" ht="7.5" customHeight="1">
      <c r="A19" s="130"/>
      <c r="B19" s="130"/>
      <c r="C19" s="131"/>
      <c r="D19" s="131"/>
      <c r="E19" s="132"/>
      <c r="F19" s="133"/>
      <c r="G19" s="132"/>
      <c r="H19" s="132"/>
      <c r="I19" s="132"/>
      <c r="J19" s="134"/>
      <c r="K19" s="135"/>
    </row>
    <row r="20" ht="30.0" customHeight="1">
      <c r="A20" s="122" t="s">
        <v>50</v>
      </c>
      <c r="B20" s="123" t="s">
        <v>106</v>
      </c>
      <c r="C20" s="124"/>
      <c r="D20" s="124">
        <v>100.0</v>
      </c>
      <c r="E20" s="125">
        <v>21.5</v>
      </c>
      <c r="F20" s="126">
        <f>SUM(D20/E8)</f>
        <v>4.761904762</v>
      </c>
      <c r="G20" s="125">
        <v>5.0</v>
      </c>
      <c r="H20" s="125">
        <v>5.0</v>
      </c>
      <c r="I20" s="125">
        <v>0.0</v>
      </c>
      <c r="J20" s="127">
        <f t="shared" ref="J20:J24" si="5">SUM(E20+G20+H20+I20)</f>
        <v>31.5</v>
      </c>
      <c r="K20" s="128">
        <f t="shared" ref="K20:K24" si="6">SUM(J20/D20)</f>
        <v>0.315</v>
      </c>
    </row>
    <row r="21" ht="30.0" customHeight="1">
      <c r="A21" s="122" t="s">
        <v>50</v>
      </c>
      <c r="B21" s="123" t="s">
        <v>106</v>
      </c>
      <c r="C21" s="124"/>
      <c r="D21" s="124">
        <v>250.0</v>
      </c>
      <c r="E21" s="125">
        <v>44.85</v>
      </c>
      <c r="F21" s="126">
        <f>SUM(D21/E8)</f>
        <v>11.9047619</v>
      </c>
      <c r="G21" s="125">
        <v>5.0</v>
      </c>
      <c r="H21" s="125">
        <v>12.0</v>
      </c>
      <c r="I21" s="125">
        <v>0.0</v>
      </c>
      <c r="J21" s="127">
        <f t="shared" si="5"/>
        <v>61.85</v>
      </c>
      <c r="K21" s="128">
        <f t="shared" si="6"/>
        <v>0.2474</v>
      </c>
      <c r="L21" s="129"/>
      <c r="N21" s="129"/>
      <c r="O21" s="129"/>
      <c r="P21" s="129"/>
      <c r="Q21" s="129"/>
      <c r="R21" s="129"/>
      <c r="S21" s="129"/>
      <c r="T21" s="129"/>
      <c r="U21" s="129"/>
      <c r="V21" s="129"/>
    </row>
    <row r="22" ht="30.0" customHeight="1">
      <c r="A22" s="122" t="s">
        <v>50</v>
      </c>
      <c r="B22" s="123" t="s">
        <v>106</v>
      </c>
      <c r="C22" s="124"/>
      <c r="D22" s="124">
        <v>500.0</v>
      </c>
      <c r="E22" s="125">
        <v>77.35</v>
      </c>
      <c r="F22" s="126">
        <f>SUM(D22/E8)</f>
        <v>23.80952381</v>
      </c>
      <c r="G22" s="125">
        <v>15.0</v>
      </c>
      <c r="H22" s="125">
        <v>24.0</v>
      </c>
      <c r="I22" s="125">
        <v>0.0</v>
      </c>
      <c r="J22" s="127">
        <f t="shared" si="5"/>
        <v>116.35</v>
      </c>
      <c r="K22" s="128">
        <f t="shared" si="6"/>
        <v>0.2327</v>
      </c>
      <c r="L22" s="136"/>
      <c r="M22" s="137"/>
      <c r="N22" s="129"/>
      <c r="O22" s="129"/>
      <c r="P22" s="129"/>
      <c r="Q22" s="129"/>
      <c r="R22" s="129"/>
      <c r="S22" s="129"/>
      <c r="T22" s="129"/>
      <c r="U22" s="129"/>
      <c r="V22" s="129"/>
    </row>
    <row r="23" ht="30.0" customHeight="1">
      <c r="A23" s="122" t="s">
        <v>50</v>
      </c>
      <c r="B23" s="123" t="s">
        <v>106</v>
      </c>
      <c r="C23" s="124"/>
      <c r="D23" s="124">
        <v>750.0</v>
      </c>
      <c r="E23" s="125">
        <v>102.78</v>
      </c>
      <c r="F23" s="126">
        <f>SUM(D23/E8)</f>
        <v>35.71428571</v>
      </c>
      <c r="G23" s="125">
        <v>15.0</v>
      </c>
      <c r="H23" s="125">
        <v>36.0</v>
      </c>
      <c r="I23" s="125">
        <v>0.0</v>
      </c>
      <c r="J23" s="127">
        <f t="shared" si="5"/>
        <v>153.78</v>
      </c>
      <c r="K23" s="128">
        <f t="shared" si="6"/>
        <v>0.20504</v>
      </c>
    </row>
    <row r="24" ht="30.0" customHeight="1">
      <c r="A24" s="122" t="s">
        <v>50</v>
      </c>
      <c r="B24" s="123" t="s">
        <v>106</v>
      </c>
      <c r="C24" s="124"/>
      <c r="D24" s="124">
        <v>1000.0</v>
      </c>
      <c r="E24" s="125">
        <v>128.2</v>
      </c>
      <c r="F24" s="126">
        <f>SUM(D24/E8)</f>
        <v>47.61904762</v>
      </c>
      <c r="G24" s="125">
        <v>15.0</v>
      </c>
      <c r="H24" s="125">
        <v>48.0</v>
      </c>
      <c r="I24" s="125">
        <v>0.0</v>
      </c>
      <c r="J24" s="127">
        <f t="shared" si="5"/>
        <v>191.2</v>
      </c>
      <c r="K24" s="128">
        <f t="shared" si="6"/>
        <v>0.1912</v>
      </c>
    </row>
    <row r="25" ht="7.5" customHeight="1">
      <c r="A25" s="130"/>
      <c r="B25" s="130"/>
      <c r="C25" s="131"/>
      <c r="D25" s="131"/>
      <c r="E25" s="132"/>
      <c r="F25" s="133"/>
      <c r="G25" s="132"/>
      <c r="H25" s="132"/>
      <c r="I25" s="132"/>
      <c r="J25" s="134"/>
      <c r="K25" s="135"/>
    </row>
    <row r="26" ht="37.5" customHeight="1">
      <c r="A26" s="122" t="s">
        <v>107</v>
      </c>
      <c r="B26" s="123" t="s">
        <v>108</v>
      </c>
      <c r="C26" s="124"/>
      <c r="D26" s="124">
        <v>100.0</v>
      </c>
      <c r="E26" s="125">
        <v>21.5</v>
      </c>
      <c r="F26" s="126">
        <f>SUM(D26/E8)</f>
        <v>4.761904762</v>
      </c>
      <c r="G26" s="125">
        <v>5.0</v>
      </c>
      <c r="H26" s="125">
        <v>5.0</v>
      </c>
      <c r="I26" s="125">
        <v>4.25</v>
      </c>
      <c r="J26" s="127">
        <f t="shared" ref="J26:J30" si="7">SUM(E26+G26+H26+I26)</f>
        <v>35.75</v>
      </c>
      <c r="K26" s="128">
        <f t="shared" ref="K26:K30" si="8">SUM(J26/D26)</f>
        <v>0.3575</v>
      </c>
      <c r="L26" s="138"/>
      <c r="M26" s="139"/>
      <c r="N26" s="138"/>
      <c r="O26" s="138"/>
      <c r="P26" s="138"/>
      <c r="Q26" s="138"/>
      <c r="R26" s="138"/>
      <c r="S26" s="138"/>
      <c r="T26" s="138"/>
      <c r="U26" s="138"/>
      <c r="V26" s="138"/>
    </row>
    <row r="27" ht="37.5" customHeight="1">
      <c r="A27" s="122" t="s">
        <v>107</v>
      </c>
      <c r="B27" s="123" t="s">
        <v>109</v>
      </c>
      <c r="C27" s="124"/>
      <c r="D27" s="124">
        <v>200.0</v>
      </c>
      <c r="E27" s="125">
        <v>44.85</v>
      </c>
      <c r="F27" s="126">
        <f>SUM(D27/E8)</f>
        <v>9.523809524</v>
      </c>
      <c r="G27" s="125">
        <v>5.0</v>
      </c>
      <c r="H27" s="125">
        <v>12.0</v>
      </c>
      <c r="I27" s="125">
        <v>10.2</v>
      </c>
      <c r="J27" s="127">
        <f t="shared" si="7"/>
        <v>72.05</v>
      </c>
      <c r="K27" s="128">
        <f t="shared" si="8"/>
        <v>0.36025</v>
      </c>
      <c r="L27" s="138"/>
      <c r="M27" s="139"/>
      <c r="N27" s="138"/>
      <c r="O27" s="138"/>
      <c r="P27" s="138"/>
      <c r="Q27" s="138"/>
      <c r="R27" s="138"/>
      <c r="S27" s="138"/>
      <c r="T27" s="138"/>
      <c r="U27" s="138"/>
      <c r="V27" s="138"/>
    </row>
    <row r="28" ht="37.5" customHeight="1">
      <c r="A28" s="122" t="s">
        <v>107</v>
      </c>
      <c r="B28" s="123" t="s">
        <v>109</v>
      </c>
      <c r="C28" s="124"/>
      <c r="D28" s="124">
        <v>500.0</v>
      </c>
      <c r="E28" s="125">
        <v>77.35</v>
      </c>
      <c r="F28" s="126">
        <f>SUM(D28/E8)</f>
        <v>23.80952381</v>
      </c>
      <c r="G28" s="125">
        <v>15.0</v>
      </c>
      <c r="H28" s="125">
        <v>24.0</v>
      </c>
      <c r="I28" s="125">
        <v>20.4</v>
      </c>
      <c r="J28" s="127">
        <f t="shared" si="7"/>
        <v>136.75</v>
      </c>
      <c r="K28" s="128">
        <f t="shared" si="8"/>
        <v>0.2735</v>
      </c>
      <c r="L28" s="129"/>
      <c r="N28" s="129"/>
      <c r="O28" s="129"/>
      <c r="P28" s="129"/>
      <c r="Q28" s="129"/>
      <c r="R28" s="129"/>
      <c r="S28" s="129"/>
      <c r="T28" s="129"/>
      <c r="U28" s="129"/>
      <c r="V28" s="129"/>
    </row>
    <row r="29" ht="37.5" customHeight="1">
      <c r="A29" s="122" t="s">
        <v>107</v>
      </c>
      <c r="B29" s="123" t="s">
        <v>109</v>
      </c>
      <c r="C29" s="124"/>
      <c r="D29" s="124">
        <v>750.0</v>
      </c>
      <c r="E29" s="125">
        <v>102.78</v>
      </c>
      <c r="F29" s="126">
        <f>SUM(D29/E8)</f>
        <v>35.71428571</v>
      </c>
      <c r="G29" s="125">
        <v>15.0</v>
      </c>
      <c r="H29" s="125">
        <v>36.0</v>
      </c>
      <c r="I29" s="125">
        <v>30.6</v>
      </c>
      <c r="J29" s="127">
        <f t="shared" si="7"/>
        <v>184.38</v>
      </c>
      <c r="K29" s="128">
        <f t="shared" si="8"/>
        <v>0.24584</v>
      </c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</row>
    <row r="30" ht="37.5" customHeight="1">
      <c r="A30" s="122" t="s">
        <v>107</v>
      </c>
      <c r="B30" s="123" t="s">
        <v>109</v>
      </c>
      <c r="C30" s="124"/>
      <c r="D30" s="124">
        <v>1000.0</v>
      </c>
      <c r="E30" s="125">
        <v>128.2</v>
      </c>
      <c r="F30" s="126">
        <f>SUM(D30/E8)</f>
        <v>47.61904762</v>
      </c>
      <c r="G30" s="125">
        <v>15.0</v>
      </c>
      <c r="H30" s="125">
        <v>48.0</v>
      </c>
      <c r="I30" s="125">
        <v>40.8</v>
      </c>
      <c r="J30" s="127">
        <f t="shared" si="7"/>
        <v>232</v>
      </c>
      <c r="K30" s="128">
        <f t="shared" si="8"/>
        <v>0.232</v>
      </c>
      <c r="L30" s="129"/>
      <c r="N30" s="129"/>
      <c r="O30" s="129"/>
      <c r="P30" s="129"/>
      <c r="Q30" s="129"/>
      <c r="R30" s="129"/>
      <c r="S30" s="129"/>
      <c r="T30" s="129"/>
      <c r="U30" s="129"/>
      <c r="V30" s="129"/>
    </row>
    <row r="31" ht="7.5" customHeight="1">
      <c r="A31" s="130"/>
      <c r="B31" s="130"/>
      <c r="C31" s="131"/>
      <c r="D31" s="131"/>
      <c r="E31" s="132"/>
      <c r="F31" s="133"/>
      <c r="G31" s="132"/>
      <c r="H31" s="132"/>
      <c r="I31" s="132"/>
      <c r="J31" s="134"/>
      <c r="K31" s="135"/>
      <c r="L31" s="129"/>
      <c r="N31" s="129"/>
      <c r="O31" s="129"/>
      <c r="P31" s="129"/>
      <c r="Q31" s="129"/>
      <c r="R31" s="129"/>
      <c r="S31" s="129"/>
      <c r="T31" s="129"/>
      <c r="U31" s="129"/>
      <c r="V31" s="129"/>
    </row>
    <row r="32" ht="30.0" customHeight="1">
      <c r="A32" s="122" t="s">
        <v>110</v>
      </c>
      <c r="B32" s="123" t="s">
        <v>111</v>
      </c>
      <c r="C32" s="124"/>
      <c r="D32" s="124">
        <v>100.0</v>
      </c>
      <c r="E32" s="125">
        <v>21.5</v>
      </c>
      <c r="F32" s="126">
        <f>SUM(D32/E14)</f>
        <v>4.651162791</v>
      </c>
      <c r="G32" s="125">
        <v>5.0</v>
      </c>
      <c r="H32" s="125">
        <v>5.0</v>
      </c>
      <c r="I32" s="125">
        <v>8.5</v>
      </c>
      <c r="J32" s="127">
        <f t="shared" ref="J32:J36" si="9">SUM(E32+G32+H32+I32)</f>
        <v>40</v>
      </c>
      <c r="K32" s="128">
        <f t="shared" ref="K32:K36" si="10">SUM(J32/D32)</f>
        <v>0.4</v>
      </c>
      <c r="L32" s="129"/>
      <c r="N32" s="129"/>
      <c r="O32" s="129"/>
      <c r="P32" s="129"/>
      <c r="Q32" s="129"/>
      <c r="R32" s="129"/>
      <c r="S32" s="129"/>
      <c r="T32" s="129"/>
      <c r="U32" s="129"/>
      <c r="V32" s="129"/>
    </row>
    <row r="33" ht="30.0" customHeight="1">
      <c r="A33" s="122" t="s">
        <v>110</v>
      </c>
      <c r="B33" s="123" t="s">
        <v>111</v>
      </c>
      <c r="C33" s="124"/>
      <c r="D33" s="124">
        <v>250.0</v>
      </c>
      <c r="E33" s="125">
        <v>44.85</v>
      </c>
      <c r="F33" s="126">
        <f>SUM(D33/E14)</f>
        <v>11.62790698</v>
      </c>
      <c r="G33" s="125">
        <v>5.0</v>
      </c>
      <c r="H33" s="125">
        <v>12.0</v>
      </c>
      <c r="I33" s="125">
        <v>20.4</v>
      </c>
      <c r="J33" s="127">
        <f t="shared" si="9"/>
        <v>82.25</v>
      </c>
      <c r="K33" s="128">
        <f t="shared" si="10"/>
        <v>0.329</v>
      </c>
      <c r="L33" s="129"/>
      <c r="N33" s="129"/>
      <c r="O33" s="129"/>
      <c r="P33" s="129"/>
      <c r="Q33" s="129"/>
      <c r="R33" s="129"/>
      <c r="S33" s="129"/>
      <c r="T33" s="129"/>
      <c r="U33" s="129"/>
      <c r="V33" s="129"/>
    </row>
    <row r="34" ht="30.0" customHeight="1">
      <c r="A34" s="122" t="s">
        <v>110</v>
      </c>
      <c r="B34" s="123" t="s">
        <v>111</v>
      </c>
      <c r="C34" s="124"/>
      <c r="D34" s="124">
        <v>500.0</v>
      </c>
      <c r="E34" s="125">
        <v>77.35</v>
      </c>
      <c r="F34" s="126">
        <f>SUM(D34/E14)</f>
        <v>23.25581395</v>
      </c>
      <c r="G34" s="125">
        <v>15.0</v>
      </c>
      <c r="H34" s="125">
        <v>24.0</v>
      </c>
      <c r="I34" s="125">
        <v>0.0</v>
      </c>
      <c r="J34" s="127">
        <f t="shared" si="9"/>
        <v>116.35</v>
      </c>
      <c r="K34" s="128">
        <f t="shared" si="10"/>
        <v>0.2327</v>
      </c>
      <c r="L34" s="129"/>
      <c r="N34" s="129"/>
      <c r="O34" s="129"/>
      <c r="P34" s="129"/>
      <c r="Q34" s="129"/>
      <c r="R34" s="129"/>
      <c r="S34" s="129"/>
      <c r="T34" s="129"/>
      <c r="U34" s="129"/>
      <c r="V34" s="129"/>
    </row>
    <row r="35" ht="30.0" customHeight="1">
      <c r="A35" s="122" t="s">
        <v>110</v>
      </c>
      <c r="B35" s="123" t="s">
        <v>111</v>
      </c>
      <c r="C35" s="124"/>
      <c r="D35" s="124">
        <v>750.0</v>
      </c>
      <c r="E35" s="125">
        <v>102.78</v>
      </c>
      <c r="F35" s="126">
        <f>SUM(D35/E14)</f>
        <v>34.88372093</v>
      </c>
      <c r="G35" s="125">
        <v>15.0</v>
      </c>
      <c r="H35" s="125">
        <v>36.0</v>
      </c>
      <c r="I35" s="125">
        <v>59.5</v>
      </c>
      <c r="J35" s="127">
        <f t="shared" si="9"/>
        <v>213.28</v>
      </c>
      <c r="K35" s="128">
        <f t="shared" si="10"/>
        <v>0.2843733333</v>
      </c>
      <c r="L35" s="141"/>
      <c r="M35" s="141"/>
      <c r="N35" s="142"/>
      <c r="O35" s="143"/>
      <c r="P35" s="144"/>
      <c r="Q35" s="142"/>
      <c r="R35" s="143"/>
      <c r="S35" s="143"/>
      <c r="T35" s="143"/>
      <c r="U35" s="145"/>
      <c r="V35" s="146"/>
    </row>
    <row r="36" ht="30.0" customHeight="1">
      <c r="A36" s="122" t="s">
        <v>110</v>
      </c>
      <c r="B36" s="123" t="s">
        <v>111</v>
      </c>
      <c r="C36" s="124"/>
      <c r="D36" s="124">
        <v>1000.0</v>
      </c>
      <c r="E36" s="125">
        <v>128.2</v>
      </c>
      <c r="F36" s="126">
        <f>SUM(D36/E14)</f>
        <v>46.51162791</v>
      </c>
      <c r="G36" s="125">
        <v>15.0</v>
      </c>
      <c r="H36" s="125">
        <v>48.0</v>
      </c>
      <c r="I36" s="125">
        <v>79.9</v>
      </c>
      <c r="J36" s="127">
        <f t="shared" si="9"/>
        <v>271.1</v>
      </c>
      <c r="K36" s="128">
        <f t="shared" si="10"/>
        <v>0.2711</v>
      </c>
      <c r="L36" s="129"/>
      <c r="N36" s="129"/>
      <c r="O36" s="129"/>
      <c r="P36" s="129"/>
      <c r="Q36" s="129"/>
      <c r="R36" s="129"/>
      <c r="S36" s="129"/>
      <c r="T36" s="129"/>
      <c r="U36" s="129"/>
      <c r="V36" s="129"/>
    </row>
    <row r="37" ht="15.0" customHeight="1">
      <c r="A37" s="147"/>
      <c r="B37" s="147"/>
      <c r="C37" s="148"/>
      <c r="D37" s="148"/>
      <c r="E37" s="149"/>
      <c r="F37" s="150"/>
      <c r="G37" s="149"/>
      <c r="H37" s="149"/>
      <c r="I37" s="149"/>
      <c r="J37" s="151"/>
      <c r="K37" s="152"/>
      <c r="L37" s="129"/>
      <c r="N37" s="129"/>
      <c r="O37" s="129"/>
      <c r="P37" s="129"/>
      <c r="Q37" s="129"/>
      <c r="R37" s="129"/>
      <c r="S37" s="129"/>
      <c r="T37" s="129"/>
      <c r="U37" s="129"/>
      <c r="V37" s="129"/>
    </row>
    <row r="38" ht="30.0" customHeight="1">
      <c r="A38" s="153" t="s">
        <v>112</v>
      </c>
      <c r="B38" s="154" t="s">
        <v>109</v>
      </c>
      <c r="C38" s="155"/>
      <c r="D38" s="156">
        <v>200.0</v>
      </c>
      <c r="E38" s="157">
        <v>44.85</v>
      </c>
      <c r="F38" s="158">
        <f>SUM(D38/E8)</f>
        <v>9.523809524</v>
      </c>
      <c r="G38" s="157">
        <v>5.0</v>
      </c>
      <c r="H38" s="157">
        <v>10.0</v>
      </c>
      <c r="I38" s="159">
        <v>20.4</v>
      </c>
      <c r="J38" s="160">
        <f>SUM(E38+G38+H38+I38)</f>
        <v>80.25</v>
      </c>
      <c r="K38" s="161">
        <f>SUM(J38/D38)</f>
        <v>0.40125</v>
      </c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</row>
    <row r="39" ht="37.5" customHeight="1">
      <c r="A39" s="123"/>
      <c r="B39" s="123"/>
      <c r="C39" s="124"/>
      <c r="D39" s="124"/>
      <c r="E39" s="125"/>
      <c r="F39" s="126"/>
      <c r="G39" s="125"/>
      <c r="H39" s="125"/>
      <c r="I39" s="125"/>
      <c r="J39" s="127"/>
      <c r="K39" s="162"/>
      <c r="L39" s="129"/>
      <c r="N39" s="129"/>
      <c r="O39" s="129"/>
      <c r="P39" s="129"/>
      <c r="Q39" s="129"/>
      <c r="R39" s="129"/>
      <c r="S39" s="129"/>
      <c r="T39" s="129"/>
      <c r="U39" s="129"/>
      <c r="V39" s="129"/>
    </row>
    <row r="40" ht="37.5" customHeight="1">
      <c r="A40" s="163"/>
      <c r="B40" s="164"/>
      <c r="C40" s="165"/>
      <c r="D40" s="165"/>
      <c r="E40" s="166"/>
      <c r="F40" s="167"/>
      <c r="G40" s="168"/>
      <c r="H40" s="168"/>
      <c r="I40" s="168"/>
      <c r="J40" s="169"/>
      <c r="K40" s="17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</row>
    <row r="41" ht="37.5" customHeight="1">
      <c r="A41" s="123"/>
      <c r="B41" s="123"/>
      <c r="C41" s="124"/>
      <c r="D41" s="124"/>
      <c r="E41" s="125"/>
      <c r="F41" s="126"/>
      <c r="G41" s="125"/>
      <c r="H41" s="125"/>
      <c r="I41" s="125"/>
      <c r="J41" s="127"/>
      <c r="K41" s="162"/>
      <c r="L41" s="129"/>
      <c r="N41" s="129"/>
      <c r="O41" s="129"/>
      <c r="P41" s="129"/>
      <c r="Q41" s="129"/>
      <c r="R41" s="129"/>
      <c r="S41" s="129"/>
      <c r="T41" s="129"/>
      <c r="U41" s="129"/>
      <c r="V41" s="129"/>
    </row>
    <row r="42" ht="37.5" customHeight="1">
      <c r="A42" s="123"/>
      <c r="B42" s="123"/>
      <c r="C42" s="124"/>
      <c r="D42" s="124"/>
      <c r="E42" s="125"/>
      <c r="F42" s="126"/>
      <c r="G42" s="125"/>
      <c r="H42" s="125"/>
      <c r="I42" s="125"/>
      <c r="J42" s="127"/>
      <c r="K42" s="162"/>
      <c r="L42" s="129"/>
      <c r="N42" s="129"/>
      <c r="O42" s="129"/>
      <c r="P42" s="129"/>
      <c r="Q42" s="129"/>
      <c r="R42" s="129"/>
      <c r="S42" s="129"/>
      <c r="T42" s="129"/>
      <c r="U42" s="129"/>
      <c r="V42" s="129"/>
    </row>
    <row r="43" ht="37.5" customHeight="1">
      <c r="A43" s="123"/>
      <c r="B43" s="123"/>
      <c r="C43" s="124"/>
      <c r="D43" s="124"/>
      <c r="E43" s="125"/>
      <c r="F43" s="171"/>
      <c r="G43" s="125"/>
      <c r="H43" s="125"/>
      <c r="I43" s="125"/>
      <c r="J43" s="127"/>
      <c r="K43" s="162"/>
      <c r="L43" s="129"/>
      <c r="N43" s="129"/>
      <c r="O43" s="129"/>
      <c r="P43" s="129"/>
      <c r="Q43" s="129"/>
      <c r="R43" s="129"/>
      <c r="S43" s="129"/>
      <c r="T43" s="129"/>
      <c r="U43" s="129"/>
      <c r="V43" s="129"/>
    </row>
    <row r="44" ht="37.5" customHeight="1">
      <c r="A44" s="123"/>
      <c r="B44" s="123"/>
      <c r="C44" s="124"/>
      <c r="D44" s="124"/>
      <c r="E44" s="125"/>
      <c r="F44" s="171"/>
      <c r="G44" s="125"/>
      <c r="H44" s="125"/>
      <c r="I44" s="125"/>
      <c r="J44" s="127"/>
      <c r="K44" s="162"/>
    </row>
    <row r="45" ht="22.5" customHeight="1">
      <c r="A45" s="123"/>
      <c r="B45" s="123"/>
      <c r="C45" s="124"/>
      <c r="D45" s="124"/>
      <c r="E45" s="125"/>
      <c r="F45" s="171"/>
      <c r="G45" s="125"/>
      <c r="H45" s="125"/>
      <c r="I45" s="125"/>
      <c r="J45" s="127"/>
      <c r="K45" s="162"/>
    </row>
    <row r="46" ht="22.5" customHeight="1">
      <c r="A46" s="123"/>
      <c r="B46" s="123"/>
      <c r="C46" s="124"/>
      <c r="D46" s="124"/>
      <c r="E46" s="125"/>
      <c r="F46" s="171"/>
      <c r="G46" s="125"/>
      <c r="H46" s="125"/>
      <c r="I46" s="125"/>
      <c r="J46" s="127"/>
      <c r="K46" s="162"/>
    </row>
    <row r="47" ht="22.5" customHeight="1">
      <c r="A47" s="123"/>
      <c r="B47" s="123"/>
      <c r="C47" s="124"/>
      <c r="D47" s="124"/>
      <c r="E47" s="125"/>
      <c r="F47" s="126"/>
      <c r="G47" s="125"/>
      <c r="H47" s="125"/>
      <c r="I47" s="125"/>
      <c r="J47" s="127"/>
      <c r="K47" s="162"/>
    </row>
    <row r="48" ht="22.5" customHeight="1">
      <c r="A48" s="123"/>
      <c r="B48" s="123"/>
      <c r="C48" s="124"/>
      <c r="D48" s="124"/>
      <c r="E48" s="125"/>
      <c r="F48" s="126"/>
      <c r="G48" s="125"/>
      <c r="H48" s="125"/>
      <c r="I48" s="125"/>
      <c r="J48" s="127"/>
      <c r="K48" s="162"/>
    </row>
    <row r="49" ht="22.5" customHeight="1">
      <c r="A49" s="123"/>
      <c r="B49" s="123"/>
      <c r="C49" s="124"/>
      <c r="D49" s="124"/>
      <c r="E49" s="125"/>
      <c r="F49" s="126"/>
      <c r="G49" s="125"/>
      <c r="H49" s="125"/>
      <c r="I49" s="125"/>
      <c r="J49" s="127"/>
      <c r="K49" s="162"/>
    </row>
    <row r="50" ht="22.5" customHeight="1">
      <c r="A50" s="172"/>
      <c r="B50" s="173"/>
      <c r="C50" s="174"/>
      <c r="D50" s="174"/>
      <c r="E50" s="175"/>
      <c r="F50" s="176"/>
      <c r="G50" s="175"/>
      <c r="H50" s="177"/>
      <c r="I50" s="177"/>
      <c r="J50" s="178"/>
      <c r="K50" s="179"/>
    </row>
    <row r="51" ht="37.5" customHeight="1">
      <c r="A51" s="123"/>
      <c r="B51" s="123"/>
      <c r="C51" s="124"/>
      <c r="D51" s="124"/>
      <c r="E51" s="125"/>
      <c r="F51" s="126"/>
      <c r="G51" s="125"/>
      <c r="H51" s="125"/>
      <c r="I51" s="125"/>
      <c r="J51" s="127"/>
      <c r="K51" s="162"/>
    </row>
    <row r="52" ht="37.5" customHeight="1">
      <c r="A52" s="123"/>
      <c r="B52" s="123"/>
      <c r="C52" s="124"/>
      <c r="D52" s="124"/>
      <c r="E52" s="125"/>
      <c r="F52" s="126"/>
      <c r="G52" s="125"/>
      <c r="H52" s="125"/>
      <c r="I52" s="125"/>
      <c r="J52" s="127"/>
      <c r="K52" s="162"/>
    </row>
    <row r="53" ht="37.5" customHeight="1">
      <c r="A53" s="123"/>
      <c r="B53" s="123"/>
      <c r="C53" s="124"/>
      <c r="D53" s="124"/>
      <c r="E53" s="125"/>
      <c r="F53" s="126"/>
      <c r="G53" s="125"/>
      <c r="H53" s="125"/>
      <c r="I53" s="125"/>
      <c r="J53" s="127"/>
      <c r="K53" s="162"/>
    </row>
    <row r="54" ht="37.5" customHeight="1">
      <c r="A54" s="123"/>
      <c r="B54" s="123"/>
      <c r="C54" s="124"/>
      <c r="D54" s="124"/>
      <c r="E54" s="125"/>
      <c r="F54" s="126"/>
      <c r="G54" s="125"/>
      <c r="H54" s="125"/>
      <c r="I54" s="125"/>
      <c r="J54" s="127"/>
      <c r="K54" s="162"/>
    </row>
    <row r="55" ht="37.5" customHeight="1">
      <c r="A55" s="123"/>
      <c r="B55" s="123"/>
      <c r="C55" s="124"/>
      <c r="D55" s="124"/>
      <c r="E55" s="125"/>
      <c r="F55" s="126"/>
      <c r="G55" s="125"/>
      <c r="H55" s="125"/>
      <c r="I55" s="125"/>
      <c r="J55" s="127"/>
      <c r="K55" s="162"/>
    </row>
    <row r="56" ht="37.5" customHeight="1">
      <c r="A56" s="123"/>
      <c r="B56" s="123"/>
      <c r="C56" s="124"/>
      <c r="D56" s="124"/>
      <c r="E56" s="125"/>
      <c r="F56" s="126"/>
      <c r="G56" s="125"/>
      <c r="H56" s="125"/>
      <c r="I56" s="125"/>
      <c r="J56" s="127"/>
      <c r="K56" s="162"/>
    </row>
    <row r="57" ht="37.5" customHeight="1">
      <c r="A57" s="123"/>
      <c r="B57" s="123"/>
      <c r="C57" s="124"/>
      <c r="D57" s="124"/>
      <c r="E57" s="125"/>
      <c r="F57" s="126"/>
      <c r="G57" s="125"/>
      <c r="H57" s="125"/>
      <c r="I57" s="125"/>
      <c r="J57" s="127"/>
      <c r="K57" s="162"/>
    </row>
    <row r="58" ht="37.5" customHeight="1">
      <c r="A58" s="123"/>
      <c r="B58" s="123"/>
      <c r="C58" s="124"/>
      <c r="D58" s="124"/>
      <c r="E58" s="125"/>
      <c r="F58" s="126"/>
      <c r="G58" s="125"/>
      <c r="H58" s="125"/>
      <c r="I58" s="125"/>
      <c r="J58" s="127"/>
      <c r="K58" s="162"/>
    </row>
    <row r="59" ht="37.5" customHeight="1">
      <c r="A59" s="123"/>
      <c r="B59" s="123"/>
      <c r="C59" s="124"/>
      <c r="D59" s="124"/>
      <c r="E59" s="125"/>
      <c r="F59" s="126"/>
      <c r="G59" s="125"/>
      <c r="H59" s="125"/>
      <c r="I59" s="125"/>
      <c r="J59" s="127"/>
      <c r="K59" s="162"/>
    </row>
    <row r="60" ht="37.5" customHeight="1">
      <c r="A60" s="123"/>
      <c r="B60" s="123"/>
      <c r="C60" s="124"/>
      <c r="D60" s="124"/>
      <c r="E60" s="125"/>
      <c r="F60" s="126"/>
      <c r="G60" s="125"/>
      <c r="H60" s="125"/>
      <c r="I60" s="125"/>
      <c r="J60" s="127"/>
      <c r="K60" s="162"/>
    </row>
    <row r="61" ht="37.5" customHeight="1">
      <c r="A61" s="123"/>
      <c r="B61" s="123"/>
      <c r="C61" s="124"/>
      <c r="D61" s="124"/>
      <c r="E61" s="125"/>
      <c r="F61" s="126"/>
      <c r="G61" s="125"/>
      <c r="H61" s="125"/>
      <c r="I61" s="125"/>
      <c r="J61" s="127"/>
      <c r="K61" s="162"/>
    </row>
    <row r="62" ht="37.5" customHeight="1">
      <c r="A62" s="123"/>
      <c r="B62" s="123"/>
      <c r="C62" s="124"/>
      <c r="D62" s="124"/>
      <c r="E62" s="125"/>
      <c r="F62" s="126"/>
      <c r="G62" s="125"/>
      <c r="H62" s="125"/>
      <c r="I62" s="125"/>
      <c r="J62" s="127"/>
      <c r="K62" s="162"/>
    </row>
    <row r="63" ht="37.5" customHeight="1">
      <c r="A63" s="123"/>
      <c r="B63" s="123"/>
      <c r="C63" s="124"/>
      <c r="D63" s="124"/>
      <c r="E63" s="125"/>
      <c r="F63" s="126"/>
      <c r="G63" s="125"/>
      <c r="H63" s="125"/>
      <c r="I63" s="125"/>
      <c r="J63" s="127"/>
      <c r="K63" s="162"/>
    </row>
    <row r="64" ht="37.5" customHeight="1">
      <c r="A64" s="123"/>
      <c r="B64" s="123"/>
      <c r="C64" s="124"/>
      <c r="D64" s="124"/>
      <c r="E64" s="125"/>
      <c r="F64" s="126"/>
      <c r="G64" s="125"/>
      <c r="H64" s="125"/>
      <c r="I64" s="125"/>
      <c r="J64" s="127"/>
      <c r="K64" s="162"/>
    </row>
    <row r="65" ht="37.5" customHeight="1">
      <c r="A65" s="123"/>
      <c r="B65" s="123"/>
      <c r="C65" s="124"/>
      <c r="D65" s="124"/>
      <c r="E65" s="125"/>
      <c r="F65" s="126"/>
      <c r="G65" s="125"/>
      <c r="H65" s="125"/>
      <c r="I65" s="125"/>
      <c r="J65" s="127"/>
      <c r="K65" s="162"/>
    </row>
    <row r="66" ht="37.5" customHeight="1">
      <c r="A66" s="123"/>
      <c r="B66" s="123"/>
      <c r="C66" s="124"/>
      <c r="D66" s="124"/>
      <c r="E66" s="125"/>
      <c r="F66" s="126"/>
      <c r="G66" s="125"/>
      <c r="H66" s="125"/>
      <c r="I66" s="125"/>
      <c r="J66" s="127"/>
      <c r="K66" s="162"/>
    </row>
    <row r="67" ht="37.5" customHeight="1">
      <c r="A67" s="123"/>
      <c r="B67" s="123"/>
      <c r="C67" s="124"/>
      <c r="D67" s="124"/>
      <c r="E67" s="125"/>
      <c r="F67" s="126"/>
      <c r="G67" s="125"/>
      <c r="H67" s="125"/>
      <c r="I67" s="125"/>
      <c r="J67" s="127"/>
      <c r="K67" s="162"/>
    </row>
    <row r="68" ht="37.5" customHeight="1">
      <c r="A68" s="123"/>
      <c r="B68" s="123"/>
      <c r="C68" s="124"/>
      <c r="D68" s="124"/>
      <c r="E68" s="125"/>
      <c r="F68" s="126"/>
      <c r="G68" s="125"/>
      <c r="H68" s="125"/>
      <c r="I68" s="125"/>
      <c r="J68" s="127"/>
      <c r="K68" s="162"/>
    </row>
    <row r="69" ht="37.5" customHeight="1">
      <c r="A69" s="123"/>
      <c r="B69" s="123"/>
      <c r="C69" s="124"/>
      <c r="D69" s="124"/>
      <c r="E69" s="125"/>
      <c r="F69" s="126"/>
      <c r="G69" s="125"/>
      <c r="H69" s="125"/>
      <c r="I69" s="125"/>
      <c r="J69" s="127"/>
      <c r="K69" s="162"/>
    </row>
    <row r="70" ht="37.5" customHeight="1">
      <c r="A70" s="123"/>
      <c r="B70" s="123"/>
      <c r="C70" s="124"/>
      <c r="D70" s="124"/>
      <c r="E70" s="125"/>
      <c r="F70" s="126"/>
      <c r="G70" s="125"/>
      <c r="H70" s="125"/>
      <c r="I70" s="125"/>
      <c r="J70" s="127"/>
      <c r="K70" s="162"/>
    </row>
    <row r="71" ht="22.5" customHeight="1">
      <c r="A71" s="123"/>
      <c r="B71" s="123"/>
      <c r="C71" s="124"/>
      <c r="D71" s="124"/>
      <c r="E71" s="125"/>
      <c r="F71" s="171"/>
      <c r="G71" s="125"/>
      <c r="H71" s="125"/>
      <c r="I71" s="125"/>
      <c r="J71" s="127"/>
      <c r="K71" s="162"/>
    </row>
    <row r="72" ht="22.5" customHeight="1">
      <c r="A72" s="123"/>
      <c r="B72" s="123"/>
      <c r="C72" s="124"/>
      <c r="D72" s="124"/>
      <c r="E72" s="125"/>
      <c r="F72" s="171"/>
      <c r="G72" s="125"/>
      <c r="H72" s="125"/>
      <c r="I72" s="125"/>
      <c r="J72" s="127"/>
      <c r="K72" s="162"/>
    </row>
    <row r="73" ht="22.5" customHeight="1">
      <c r="A73" s="123"/>
      <c r="B73" s="123"/>
      <c r="C73" s="124"/>
      <c r="D73" s="124"/>
      <c r="E73" s="125"/>
      <c r="F73" s="171"/>
      <c r="G73" s="125"/>
      <c r="H73" s="125"/>
      <c r="I73" s="125"/>
      <c r="J73" s="127"/>
      <c r="K73" s="162"/>
    </row>
    <row r="74" ht="22.5" customHeight="1">
      <c r="A74" s="123"/>
      <c r="B74" s="123"/>
      <c r="C74" s="124"/>
      <c r="D74" s="124"/>
      <c r="E74" s="125"/>
      <c r="F74" s="171"/>
      <c r="G74" s="125"/>
      <c r="H74" s="125"/>
      <c r="I74" s="125"/>
      <c r="J74" s="127"/>
      <c r="K74" s="162"/>
    </row>
    <row r="75" ht="22.5" customHeight="1">
      <c r="A75" s="123"/>
      <c r="B75" s="123"/>
      <c r="C75" s="124"/>
      <c r="D75" s="124"/>
      <c r="E75" s="125"/>
      <c r="F75" s="171"/>
      <c r="G75" s="125"/>
      <c r="H75" s="125"/>
      <c r="I75" s="125"/>
      <c r="J75" s="127"/>
      <c r="K75" s="162"/>
    </row>
    <row r="76" ht="22.5" customHeight="1">
      <c r="A76" s="123"/>
      <c r="B76" s="123"/>
      <c r="C76" s="124"/>
      <c r="D76" s="124"/>
      <c r="E76" s="125"/>
      <c r="F76" s="126"/>
      <c r="G76" s="180"/>
      <c r="H76" s="125"/>
      <c r="I76" s="125"/>
      <c r="J76" s="127"/>
      <c r="K76" s="162"/>
    </row>
    <row r="77" ht="22.5" customHeight="1">
      <c r="C77" s="181"/>
      <c r="D77" s="181"/>
      <c r="E77" s="10"/>
      <c r="F77" s="182"/>
      <c r="J77" s="183"/>
      <c r="K77" s="184"/>
    </row>
    <row r="78" ht="22.5" customHeight="1">
      <c r="A78" s="123"/>
      <c r="B78" s="123"/>
      <c r="C78" s="124"/>
      <c r="D78" s="124"/>
      <c r="E78" s="125"/>
      <c r="F78" s="126"/>
      <c r="G78" s="180"/>
      <c r="H78" s="125"/>
      <c r="I78" s="125"/>
      <c r="J78" s="127"/>
      <c r="K78" s="162"/>
    </row>
    <row r="79" ht="22.5" customHeight="1">
      <c r="A79" s="123"/>
      <c r="B79" s="123"/>
      <c r="C79" s="124"/>
      <c r="D79" s="124"/>
      <c r="E79" s="125"/>
      <c r="F79" s="171"/>
      <c r="G79" s="180"/>
      <c r="H79" s="125"/>
      <c r="I79" s="125"/>
      <c r="J79" s="127"/>
      <c r="K79" s="162"/>
    </row>
    <row r="80" ht="22.5" customHeight="1">
      <c r="C80" s="181"/>
      <c r="D80" s="181"/>
      <c r="E80" s="10"/>
      <c r="F80" s="182"/>
      <c r="J80" s="183"/>
      <c r="K80" s="184"/>
    </row>
    <row r="81" ht="22.5" customHeight="1">
      <c r="A81" s="123"/>
      <c r="B81" s="123"/>
      <c r="C81" s="124"/>
      <c r="D81" s="124"/>
      <c r="E81" s="125"/>
      <c r="F81" s="171"/>
      <c r="G81" s="180"/>
      <c r="H81" s="125"/>
      <c r="I81" s="125"/>
      <c r="J81" s="127"/>
      <c r="K81" s="162"/>
    </row>
    <row r="82" ht="22.5" customHeight="1">
      <c r="C82" s="181"/>
      <c r="D82" s="181"/>
      <c r="E82" s="10"/>
      <c r="F82" s="182"/>
      <c r="J82" s="183"/>
      <c r="K82" s="184"/>
    </row>
    <row r="83" ht="22.5" customHeight="1">
      <c r="C83" s="181"/>
      <c r="D83" s="181"/>
      <c r="E83" s="10"/>
      <c r="F83" s="182"/>
      <c r="J83" s="183"/>
      <c r="K83" s="184"/>
    </row>
    <row r="84" ht="22.5" customHeight="1">
      <c r="C84" s="181"/>
      <c r="D84" s="181"/>
      <c r="E84" s="10"/>
      <c r="F84" s="182"/>
      <c r="J84" s="183"/>
      <c r="K84" s="184"/>
    </row>
    <row r="85" ht="22.5" customHeight="1">
      <c r="C85" s="181"/>
      <c r="D85" s="181"/>
      <c r="E85" s="10"/>
      <c r="F85" s="182"/>
      <c r="J85" s="183"/>
      <c r="K85" s="184"/>
    </row>
    <row r="86" ht="22.5" customHeight="1">
      <c r="C86" s="181"/>
      <c r="D86" s="181"/>
      <c r="E86" s="10"/>
      <c r="F86" s="182"/>
      <c r="J86" s="183"/>
      <c r="K86" s="184"/>
    </row>
    <row r="87" ht="22.5" customHeight="1">
      <c r="C87" s="181"/>
      <c r="D87" s="181"/>
      <c r="E87" s="10"/>
      <c r="F87" s="182"/>
      <c r="J87" s="183"/>
      <c r="K87" s="184"/>
    </row>
    <row r="88" ht="22.5" customHeight="1">
      <c r="C88" s="181"/>
      <c r="D88" s="181"/>
      <c r="E88" s="10"/>
      <c r="F88" s="182"/>
      <c r="J88" s="183"/>
      <c r="K88" s="184"/>
    </row>
    <row r="89" ht="22.5" customHeight="1">
      <c r="C89" s="181"/>
      <c r="D89" s="181"/>
      <c r="E89" s="10"/>
      <c r="F89" s="182"/>
      <c r="J89" s="183"/>
      <c r="K89" s="184"/>
    </row>
    <row r="90" ht="22.5" customHeight="1">
      <c r="C90" s="181"/>
      <c r="D90" s="181"/>
      <c r="E90" s="10"/>
      <c r="F90" s="182"/>
      <c r="J90" s="183"/>
      <c r="K90" s="184"/>
    </row>
    <row r="91" ht="22.5" customHeight="1">
      <c r="C91" s="181"/>
      <c r="D91" s="181"/>
      <c r="E91" s="10"/>
      <c r="F91" s="182"/>
      <c r="J91" s="183"/>
      <c r="K91" s="184"/>
    </row>
    <row r="92" ht="22.5" customHeight="1">
      <c r="C92" s="181"/>
      <c r="D92" s="181"/>
      <c r="E92" s="10"/>
      <c r="F92" s="182"/>
      <c r="J92" s="183"/>
      <c r="K92" s="184"/>
    </row>
    <row r="93" ht="22.5" customHeight="1">
      <c r="C93" s="181"/>
      <c r="D93" s="181"/>
      <c r="E93" s="10"/>
      <c r="F93" s="182"/>
      <c r="J93" s="183"/>
      <c r="K93" s="184"/>
    </row>
    <row r="94" ht="22.5" customHeight="1">
      <c r="C94" s="181"/>
      <c r="D94" s="181"/>
      <c r="E94" s="10"/>
      <c r="F94" s="182"/>
      <c r="J94" s="183"/>
      <c r="K94" s="184"/>
    </row>
    <row r="95" ht="22.5" customHeight="1">
      <c r="C95" s="181"/>
      <c r="D95" s="181"/>
      <c r="E95" s="10"/>
      <c r="F95" s="182"/>
      <c r="J95" s="183"/>
      <c r="K95" s="184"/>
    </row>
    <row r="96" ht="22.5" customHeight="1">
      <c r="C96" s="181"/>
      <c r="D96" s="181"/>
      <c r="E96" s="10"/>
      <c r="F96" s="182"/>
      <c r="J96" s="183"/>
      <c r="K96" s="184"/>
    </row>
    <row r="97" ht="22.5" customHeight="1">
      <c r="C97" s="181"/>
      <c r="D97" s="181"/>
      <c r="E97" s="10"/>
      <c r="F97" s="182"/>
      <c r="J97" s="183"/>
      <c r="K97" s="184"/>
    </row>
    <row r="98" ht="22.5" customHeight="1">
      <c r="C98" s="181"/>
      <c r="D98" s="181"/>
      <c r="E98" s="10"/>
      <c r="F98" s="182"/>
      <c r="J98" s="183"/>
      <c r="K98" s="184"/>
    </row>
    <row r="99" ht="22.5" customHeight="1">
      <c r="C99" s="181"/>
      <c r="D99" s="181"/>
      <c r="E99" s="10"/>
      <c r="F99" s="182"/>
      <c r="J99" s="183"/>
      <c r="K99" s="184"/>
    </row>
    <row r="100" ht="22.5" customHeight="1">
      <c r="C100" s="181"/>
      <c r="D100" s="181"/>
      <c r="E100" s="10"/>
      <c r="F100" s="182"/>
      <c r="J100" s="183"/>
      <c r="K100" s="184"/>
    </row>
    <row r="101" ht="22.5" customHeight="1">
      <c r="C101" s="181"/>
      <c r="D101" s="181"/>
      <c r="E101" s="10"/>
      <c r="F101" s="182"/>
      <c r="J101" s="183"/>
      <c r="K101" s="184"/>
    </row>
    <row r="102" ht="22.5" customHeight="1">
      <c r="C102" s="181"/>
      <c r="D102" s="181"/>
      <c r="E102" s="10"/>
      <c r="F102" s="182"/>
      <c r="J102" s="183"/>
      <c r="K102" s="184"/>
    </row>
    <row r="103" ht="22.5" customHeight="1">
      <c r="C103" s="181"/>
      <c r="D103" s="181"/>
      <c r="E103" s="10"/>
      <c r="F103" s="182"/>
      <c r="J103" s="183"/>
      <c r="K103" s="184"/>
    </row>
    <row r="104" ht="22.5" customHeight="1">
      <c r="C104" s="181"/>
      <c r="D104" s="181"/>
      <c r="E104" s="10"/>
      <c r="F104" s="182"/>
      <c r="J104" s="183"/>
      <c r="K104" s="184"/>
    </row>
    <row r="105" ht="22.5" customHeight="1">
      <c r="C105" s="181"/>
      <c r="D105" s="181"/>
      <c r="E105" s="10"/>
      <c r="F105" s="182"/>
      <c r="J105" s="183"/>
      <c r="K105" s="184"/>
    </row>
    <row r="106" ht="22.5" customHeight="1">
      <c r="C106" s="181"/>
      <c r="D106" s="181"/>
      <c r="E106" s="10"/>
      <c r="F106" s="182"/>
      <c r="J106" s="183"/>
      <c r="K106" s="184"/>
    </row>
    <row r="107" ht="22.5" customHeight="1">
      <c r="C107" s="181"/>
      <c r="D107" s="181"/>
      <c r="E107" s="10"/>
      <c r="F107" s="182"/>
      <c r="J107" s="183"/>
      <c r="K107" s="184"/>
    </row>
    <row r="108" ht="22.5" customHeight="1">
      <c r="C108" s="181"/>
      <c r="D108" s="181"/>
      <c r="E108" s="10"/>
      <c r="F108" s="182"/>
      <c r="J108" s="183"/>
      <c r="K108" s="184"/>
    </row>
    <row r="109" ht="22.5" customHeight="1">
      <c r="C109" s="181"/>
      <c r="D109" s="181"/>
      <c r="E109" s="10"/>
      <c r="F109" s="182"/>
      <c r="J109" s="183"/>
      <c r="K109" s="184"/>
    </row>
    <row r="110" ht="22.5" customHeight="1">
      <c r="C110" s="181"/>
      <c r="D110" s="181"/>
      <c r="E110" s="10"/>
      <c r="F110" s="182"/>
      <c r="J110" s="183"/>
      <c r="K110" s="184"/>
    </row>
    <row r="111" ht="22.5" customHeight="1">
      <c r="C111" s="181"/>
      <c r="D111" s="181"/>
      <c r="E111" s="10"/>
      <c r="F111" s="182"/>
      <c r="J111" s="183"/>
      <c r="K111" s="184"/>
    </row>
    <row r="112" ht="22.5" customHeight="1">
      <c r="C112" s="181"/>
      <c r="D112" s="181"/>
      <c r="E112" s="10"/>
      <c r="F112" s="182"/>
      <c r="J112" s="183"/>
      <c r="K112" s="184"/>
    </row>
    <row r="113" ht="22.5" customHeight="1">
      <c r="C113" s="181"/>
      <c r="D113" s="181"/>
      <c r="E113" s="10"/>
      <c r="F113" s="182"/>
      <c r="J113" s="183"/>
      <c r="K113" s="184"/>
    </row>
    <row r="114" ht="22.5" customHeight="1">
      <c r="C114" s="181"/>
      <c r="D114" s="181"/>
      <c r="E114" s="10"/>
      <c r="F114" s="182"/>
      <c r="J114" s="183"/>
      <c r="K114" s="184"/>
    </row>
    <row r="115" ht="22.5" customHeight="1">
      <c r="C115" s="181"/>
      <c r="D115" s="181"/>
      <c r="E115" s="10"/>
      <c r="F115" s="182"/>
      <c r="J115" s="183"/>
      <c r="K115" s="184"/>
    </row>
    <row r="116" ht="22.5" customHeight="1">
      <c r="C116" s="181"/>
      <c r="D116" s="181"/>
      <c r="E116" s="10"/>
      <c r="F116" s="182"/>
      <c r="J116" s="183"/>
      <c r="K116" s="184"/>
    </row>
    <row r="117" ht="22.5" customHeight="1">
      <c r="C117" s="181"/>
      <c r="D117" s="181"/>
      <c r="E117" s="10"/>
      <c r="F117" s="182"/>
      <c r="J117" s="183"/>
      <c r="K117" s="184"/>
    </row>
    <row r="118" ht="22.5" customHeight="1">
      <c r="C118" s="181"/>
      <c r="D118" s="181"/>
      <c r="E118" s="10"/>
      <c r="F118" s="182"/>
      <c r="J118" s="183"/>
      <c r="K118" s="184"/>
    </row>
    <row r="119" ht="22.5" customHeight="1">
      <c r="C119" s="181"/>
      <c r="D119" s="181"/>
      <c r="E119" s="10"/>
      <c r="F119" s="182"/>
      <c r="J119" s="183"/>
      <c r="K119" s="184"/>
    </row>
    <row r="120" ht="22.5" customHeight="1">
      <c r="C120" s="181"/>
      <c r="D120" s="181"/>
      <c r="E120" s="10"/>
      <c r="F120" s="182"/>
      <c r="J120" s="183"/>
      <c r="K120" s="184"/>
    </row>
    <row r="121" ht="22.5" customHeight="1">
      <c r="C121" s="181"/>
      <c r="D121" s="181"/>
      <c r="E121" s="10"/>
      <c r="F121" s="182"/>
      <c r="J121" s="183"/>
      <c r="K121" s="184"/>
    </row>
    <row r="122" ht="22.5" customHeight="1">
      <c r="C122" s="181"/>
      <c r="D122" s="181"/>
      <c r="E122" s="10"/>
      <c r="F122" s="182"/>
      <c r="J122" s="183"/>
      <c r="K122" s="184"/>
    </row>
    <row r="123" ht="22.5" customHeight="1">
      <c r="C123" s="181"/>
      <c r="D123" s="181"/>
      <c r="E123" s="10"/>
      <c r="F123" s="182"/>
      <c r="J123" s="183"/>
      <c r="K123" s="184"/>
    </row>
    <row r="124" ht="22.5" customHeight="1">
      <c r="C124" s="181"/>
      <c r="D124" s="181"/>
      <c r="E124" s="10"/>
      <c r="F124" s="182"/>
      <c r="J124" s="183"/>
      <c r="K124" s="184"/>
    </row>
    <row r="125" ht="22.5" customHeight="1">
      <c r="C125" s="181"/>
      <c r="D125" s="181"/>
      <c r="E125" s="10"/>
      <c r="F125" s="182"/>
      <c r="J125" s="183"/>
      <c r="K125" s="184"/>
    </row>
    <row r="126" ht="22.5" customHeight="1">
      <c r="C126" s="181"/>
      <c r="D126" s="181"/>
      <c r="E126" s="10"/>
      <c r="F126" s="182"/>
      <c r="J126" s="183"/>
      <c r="K126" s="184"/>
    </row>
    <row r="127" ht="22.5" customHeight="1">
      <c r="C127" s="181"/>
      <c r="D127" s="181"/>
      <c r="E127" s="10"/>
      <c r="F127" s="182"/>
      <c r="J127" s="183"/>
      <c r="K127" s="184"/>
    </row>
    <row r="128" ht="22.5" customHeight="1">
      <c r="C128" s="181"/>
      <c r="D128" s="181"/>
      <c r="E128" s="10"/>
      <c r="F128" s="182"/>
      <c r="J128" s="183"/>
      <c r="K128" s="184"/>
    </row>
    <row r="129" ht="22.5" customHeight="1">
      <c r="C129" s="181"/>
      <c r="D129" s="181"/>
      <c r="E129" s="10"/>
      <c r="F129" s="182"/>
      <c r="J129" s="183"/>
      <c r="K129" s="184"/>
    </row>
    <row r="130" ht="22.5" customHeight="1">
      <c r="C130" s="181"/>
      <c r="D130" s="181"/>
      <c r="E130" s="10"/>
      <c r="F130" s="182"/>
      <c r="J130" s="183"/>
      <c r="K130" s="184"/>
    </row>
    <row r="131" ht="22.5" customHeight="1">
      <c r="C131" s="181"/>
      <c r="D131" s="181"/>
      <c r="E131" s="10"/>
      <c r="F131" s="182"/>
      <c r="J131" s="183"/>
      <c r="K131" s="184"/>
    </row>
    <row r="132" ht="22.5" customHeight="1">
      <c r="C132" s="181"/>
      <c r="D132" s="181"/>
      <c r="E132" s="10"/>
      <c r="F132" s="182"/>
      <c r="J132" s="183"/>
      <c r="K132" s="184"/>
    </row>
    <row r="133" ht="22.5" customHeight="1">
      <c r="C133" s="181"/>
      <c r="D133" s="181"/>
      <c r="E133" s="10"/>
      <c r="F133" s="182"/>
      <c r="J133" s="183"/>
      <c r="K133" s="184"/>
    </row>
    <row r="134" ht="22.5" customHeight="1">
      <c r="C134" s="181"/>
      <c r="D134" s="181"/>
      <c r="E134" s="10"/>
      <c r="F134" s="182"/>
      <c r="J134" s="183"/>
      <c r="K134" s="184"/>
    </row>
    <row r="135" ht="22.5" customHeight="1">
      <c r="C135" s="181"/>
      <c r="D135" s="181"/>
      <c r="E135" s="10"/>
      <c r="F135" s="182"/>
      <c r="J135" s="183"/>
      <c r="K135" s="184"/>
    </row>
    <row r="136" ht="22.5" customHeight="1">
      <c r="C136" s="181"/>
      <c r="D136" s="181"/>
      <c r="E136" s="10"/>
      <c r="F136" s="182"/>
      <c r="J136" s="183"/>
      <c r="K136" s="184"/>
    </row>
    <row r="137" ht="22.5" customHeight="1">
      <c r="C137" s="181"/>
      <c r="D137" s="181"/>
      <c r="E137" s="10"/>
      <c r="F137" s="182"/>
      <c r="J137" s="183"/>
      <c r="K137" s="184"/>
    </row>
    <row r="138" ht="22.5" customHeight="1">
      <c r="C138" s="181"/>
      <c r="D138" s="181"/>
      <c r="E138" s="10"/>
      <c r="F138" s="182"/>
      <c r="J138" s="183"/>
      <c r="K138" s="184"/>
    </row>
    <row r="139" ht="22.5" customHeight="1">
      <c r="C139" s="181"/>
      <c r="D139" s="181"/>
      <c r="E139" s="10"/>
      <c r="F139" s="182"/>
      <c r="J139" s="183"/>
      <c r="K139" s="184"/>
    </row>
    <row r="140" ht="22.5" customHeight="1">
      <c r="C140" s="181"/>
      <c r="D140" s="181"/>
      <c r="E140" s="10"/>
      <c r="F140" s="182"/>
      <c r="J140" s="183"/>
      <c r="K140" s="184"/>
    </row>
    <row r="141" ht="22.5" customHeight="1">
      <c r="C141" s="181"/>
      <c r="D141" s="181"/>
      <c r="E141" s="10"/>
      <c r="F141" s="182"/>
      <c r="J141" s="183"/>
      <c r="K141" s="184"/>
    </row>
    <row r="142" ht="22.5" customHeight="1">
      <c r="C142" s="181"/>
      <c r="D142" s="181"/>
      <c r="E142" s="10"/>
      <c r="F142" s="182"/>
      <c r="J142" s="183"/>
      <c r="K142" s="184"/>
    </row>
    <row r="143" ht="22.5" customHeight="1">
      <c r="C143" s="181"/>
      <c r="D143" s="181"/>
      <c r="E143" s="10"/>
      <c r="F143" s="182"/>
      <c r="J143" s="183"/>
      <c r="K143" s="184"/>
    </row>
    <row r="144" ht="22.5" customHeight="1">
      <c r="C144" s="181"/>
      <c r="D144" s="181"/>
      <c r="E144" s="10"/>
      <c r="F144" s="182"/>
      <c r="J144" s="183"/>
      <c r="K144" s="184"/>
    </row>
    <row r="145" ht="22.5" customHeight="1">
      <c r="C145" s="181"/>
      <c r="D145" s="181"/>
      <c r="E145" s="10"/>
      <c r="F145" s="182"/>
      <c r="J145" s="183"/>
      <c r="K145" s="184"/>
    </row>
    <row r="146" ht="22.5" customHeight="1">
      <c r="C146" s="181"/>
      <c r="D146" s="181"/>
      <c r="E146" s="10"/>
      <c r="F146" s="182"/>
      <c r="J146" s="183"/>
      <c r="K146" s="184"/>
    </row>
    <row r="147" ht="22.5" customHeight="1">
      <c r="C147" s="181"/>
      <c r="D147" s="181"/>
      <c r="E147" s="10"/>
      <c r="F147" s="182"/>
      <c r="J147" s="183"/>
      <c r="K147" s="184"/>
    </row>
    <row r="148" ht="22.5" customHeight="1">
      <c r="C148" s="181"/>
      <c r="D148" s="181"/>
      <c r="E148" s="10"/>
      <c r="F148" s="182"/>
      <c r="J148" s="183"/>
      <c r="K148" s="184"/>
    </row>
    <row r="149" ht="22.5" customHeight="1">
      <c r="C149" s="181"/>
      <c r="D149" s="181"/>
      <c r="E149" s="10"/>
      <c r="F149" s="182"/>
      <c r="J149" s="183"/>
      <c r="K149" s="184"/>
    </row>
    <row r="150" ht="22.5" customHeight="1">
      <c r="C150" s="181"/>
      <c r="D150" s="181"/>
      <c r="E150" s="10"/>
      <c r="F150" s="182"/>
      <c r="J150" s="183"/>
      <c r="K150" s="184"/>
    </row>
    <row r="151" ht="22.5" customHeight="1">
      <c r="C151" s="181"/>
      <c r="D151" s="181"/>
      <c r="E151" s="10"/>
      <c r="F151" s="182"/>
      <c r="J151" s="183"/>
      <c r="K151" s="184"/>
    </row>
    <row r="152" ht="22.5" customHeight="1">
      <c r="C152" s="181"/>
      <c r="D152" s="181"/>
      <c r="E152" s="10"/>
      <c r="F152" s="182"/>
      <c r="J152" s="183"/>
      <c r="K152" s="184"/>
    </row>
    <row r="153" ht="22.5" customHeight="1">
      <c r="C153" s="181"/>
      <c r="D153" s="181"/>
      <c r="E153" s="10"/>
      <c r="F153" s="182"/>
      <c r="J153" s="183"/>
      <c r="K153" s="184"/>
    </row>
    <row r="154" ht="22.5" customHeight="1">
      <c r="C154" s="181"/>
      <c r="D154" s="181"/>
      <c r="E154" s="10"/>
      <c r="F154" s="182"/>
      <c r="J154" s="183"/>
      <c r="K154" s="184"/>
    </row>
    <row r="155" ht="22.5" customHeight="1">
      <c r="C155" s="181"/>
      <c r="D155" s="181"/>
      <c r="E155" s="10"/>
      <c r="F155" s="182"/>
      <c r="J155" s="183"/>
      <c r="K155" s="184"/>
    </row>
    <row r="156" ht="22.5" customHeight="1">
      <c r="C156" s="181"/>
      <c r="D156" s="181"/>
      <c r="E156" s="10"/>
      <c r="F156" s="182"/>
      <c r="J156" s="183"/>
      <c r="K156" s="184"/>
    </row>
    <row r="157" ht="22.5" customHeight="1">
      <c r="C157" s="181"/>
      <c r="D157" s="181"/>
      <c r="E157" s="10"/>
      <c r="F157" s="182"/>
      <c r="J157" s="183"/>
      <c r="K157" s="184"/>
    </row>
    <row r="158" ht="22.5" customHeight="1">
      <c r="C158" s="181"/>
      <c r="D158" s="181"/>
      <c r="E158" s="10"/>
      <c r="F158" s="182"/>
      <c r="J158" s="183"/>
      <c r="K158" s="184"/>
    </row>
    <row r="159" ht="22.5" customHeight="1">
      <c r="C159" s="181"/>
      <c r="D159" s="181"/>
      <c r="E159" s="10"/>
      <c r="F159" s="182"/>
      <c r="J159" s="183"/>
      <c r="K159" s="184"/>
    </row>
    <row r="160" ht="22.5" customHeight="1">
      <c r="C160" s="181"/>
      <c r="D160" s="181"/>
      <c r="E160" s="10"/>
      <c r="F160" s="182"/>
      <c r="J160" s="183"/>
      <c r="K160" s="184"/>
    </row>
    <row r="161" ht="22.5" customHeight="1">
      <c r="C161" s="181"/>
      <c r="D161" s="181"/>
      <c r="E161" s="10"/>
      <c r="F161" s="182"/>
      <c r="J161" s="183"/>
      <c r="K161" s="184"/>
    </row>
    <row r="162" ht="22.5" customHeight="1">
      <c r="C162" s="181"/>
      <c r="D162" s="181"/>
      <c r="E162" s="10"/>
      <c r="F162" s="182"/>
      <c r="J162" s="183"/>
      <c r="K162" s="184"/>
    </row>
    <row r="163" ht="22.5" customHeight="1">
      <c r="C163" s="181"/>
      <c r="D163" s="181"/>
      <c r="E163" s="10"/>
      <c r="F163" s="182"/>
      <c r="J163" s="183"/>
      <c r="K163" s="184"/>
    </row>
    <row r="164" ht="22.5" customHeight="1">
      <c r="C164" s="181"/>
      <c r="D164" s="181"/>
      <c r="E164" s="10"/>
      <c r="F164" s="182"/>
      <c r="J164" s="183"/>
      <c r="K164" s="184"/>
    </row>
    <row r="165" ht="22.5" customHeight="1">
      <c r="C165" s="181"/>
      <c r="D165" s="181"/>
      <c r="E165" s="10"/>
      <c r="F165" s="182"/>
      <c r="J165" s="183"/>
      <c r="K165" s="184"/>
    </row>
    <row r="166" ht="22.5" customHeight="1">
      <c r="C166" s="181"/>
      <c r="D166" s="181"/>
      <c r="E166" s="10"/>
      <c r="F166" s="182"/>
      <c r="J166" s="183"/>
      <c r="K166" s="184"/>
    </row>
    <row r="167" ht="22.5" customHeight="1">
      <c r="C167" s="181"/>
      <c r="D167" s="181"/>
      <c r="E167" s="10"/>
      <c r="F167" s="182"/>
      <c r="J167" s="183"/>
      <c r="K167" s="184"/>
    </row>
    <row r="168" ht="22.5" customHeight="1">
      <c r="C168" s="181"/>
      <c r="D168" s="181"/>
      <c r="E168" s="10"/>
      <c r="F168" s="182"/>
      <c r="J168" s="183"/>
      <c r="K168" s="184"/>
    </row>
    <row r="169" ht="22.5" customHeight="1">
      <c r="C169" s="181"/>
      <c r="D169" s="181"/>
      <c r="E169" s="10"/>
      <c r="F169" s="182"/>
      <c r="J169" s="183"/>
      <c r="K169" s="184"/>
    </row>
    <row r="170" ht="22.5" customHeight="1">
      <c r="C170" s="181"/>
      <c r="D170" s="181"/>
      <c r="E170" s="10"/>
      <c r="F170" s="182"/>
      <c r="J170" s="183"/>
      <c r="K170" s="184"/>
    </row>
    <row r="171" ht="22.5" customHeight="1">
      <c r="C171" s="181"/>
      <c r="D171" s="181"/>
      <c r="E171" s="10"/>
      <c r="F171" s="182"/>
      <c r="J171" s="183"/>
      <c r="K171" s="184"/>
    </row>
    <row r="172" ht="22.5" customHeight="1">
      <c r="C172" s="181"/>
      <c r="D172" s="181"/>
      <c r="E172" s="10"/>
      <c r="F172" s="182"/>
      <c r="J172" s="183"/>
      <c r="K172" s="184"/>
    </row>
    <row r="173" ht="22.5" customHeight="1">
      <c r="C173" s="181"/>
      <c r="D173" s="181"/>
      <c r="E173" s="10"/>
      <c r="F173" s="182"/>
      <c r="J173" s="183"/>
      <c r="K173" s="184"/>
    </row>
    <row r="174" ht="22.5" customHeight="1">
      <c r="C174" s="181"/>
      <c r="D174" s="181"/>
      <c r="E174" s="10"/>
      <c r="F174" s="182"/>
      <c r="J174" s="183"/>
      <c r="K174" s="184"/>
    </row>
    <row r="175" ht="22.5" customHeight="1">
      <c r="C175" s="181"/>
      <c r="D175" s="181"/>
      <c r="E175" s="10"/>
      <c r="F175" s="182"/>
      <c r="J175" s="183"/>
      <c r="K175" s="184"/>
    </row>
    <row r="176" ht="22.5" customHeight="1">
      <c r="C176" s="181"/>
      <c r="D176" s="181"/>
      <c r="E176" s="10"/>
      <c r="F176" s="182"/>
      <c r="J176" s="183"/>
      <c r="K176" s="184"/>
    </row>
    <row r="177" ht="22.5" customHeight="1">
      <c r="C177" s="181"/>
      <c r="D177" s="181"/>
      <c r="E177" s="10"/>
      <c r="F177" s="182"/>
      <c r="J177" s="183"/>
      <c r="K177" s="184"/>
    </row>
    <row r="178" ht="22.5" customHeight="1">
      <c r="C178" s="181"/>
      <c r="D178" s="181"/>
      <c r="E178" s="10"/>
      <c r="F178" s="182"/>
      <c r="J178" s="183"/>
      <c r="K178" s="184"/>
    </row>
    <row r="179" ht="22.5" customHeight="1">
      <c r="C179" s="181"/>
      <c r="D179" s="181"/>
      <c r="E179" s="10"/>
      <c r="F179" s="182"/>
      <c r="J179" s="183"/>
      <c r="K179" s="184"/>
    </row>
    <row r="180" ht="22.5" customHeight="1">
      <c r="C180" s="181"/>
      <c r="D180" s="181"/>
      <c r="E180" s="10"/>
      <c r="F180" s="182"/>
      <c r="J180" s="183"/>
      <c r="K180" s="184"/>
    </row>
    <row r="181" ht="22.5" customHeight="1">
      <c r="C181" s="181"/>
      <c r="D181" s="181"/>
      <c r="E181" s="10"/>
      <c r="F181" s="182"/>
      <c r="J181" s="183"/>
      <c r="K181" s="184"/>
    </row>
    <row r="182" ht="22.5" customHeight="1">
      <c r="C182" s="181"/>
      <c r="D182" s="181"/>
      <c r="E182" s="10"/>
      <c r="F182" s="182"/>
      <c r="J182" s="183"/>
      <c r="K182" s="184"/>
    </row>
    <row r="183" ht="22.5" customHeight="1">
      <c r="C183" s="181"/>
      <c r="D183" s="181"/>
      <c r="E183" s="10"/>
      <c r="F183" s="182"/>
      <c r="J183" s="183"/>
      <c r="K183" s="184"/>
    </row>
    <row r="184" ht="22.5" customHeight="1">
      <c r="C184" s="181"/>
      <c r="D184" s="181"/>
      <c r="E184" s="10"/>
      <c r="F184" s="182"/>
      <c r="J184" s="183"/>
      <c r="K184" s="184"/>
    </row>
    <row r="185" ht="22.5" customHeight="1">
      <c r="C185" s="181"/>
      <c r="D185" s="181"/>
      <c r="E185" s="10"/>
      <c r="F185" s="182"/>
      <c r="J185" s="183"/>
      <c r="K185" s="184"/>
    </row>
    <row r="186" ht="22.5" customHeight="1">
      <c r="C186" s="181"/>
      <c r="D186" s="181"/>
      <c r="E186" s="10"/>
      <c r="F186" s="182"/>
      <c r="J186" s="183"/>
      <c r="K186" s="184"/>
    </row>
    <row r="187" ht="22.5" customHeight="1">
      <c r="C187" s="181"/>
      <c r="D187" s="181"/>
      <c r="E187" s="10"/>
      <c r="F187" s="182"/>
      <c r="J187" s="183"/>
      <c r="K187" s="184"/>
    </row>
    <row r="188" ht="22.5" customHeight="1">
      <c r="C188" s="181"/>
      <c r="D188" s="181"/>
      <c r="E188" s="10"/>
      <c r="F188" s="182"/>
      <c r="J188" s="183"/>
      <c r="K188" s="184"/>
    </row>
    <row r="189" ht="22.5" customHeight="1">
      <c r="C189" s="181"/>
      <c r="D189" s="181"/>
      <c r="E189" s="10"/>
      <c r="F189" s="182"/>
      <c r="J189" s="183"/>
      <c r="K189" s="184"/>
    </row>
    <row r="190" ht="22.5" customHeight="1">
      <c r="C190" s="181"/>
      <c r="D190" s="181"/>
      <c r="E190" s="10"/>
      <c r="F190" s="182"/>
      <c r="J190" s="183"/>
      <c r="K190" s="184"/>
    </row>
    <row r="191" ht="22.5" customHeight="1">
      <c r="C191" s="181"/>
      <c r="D191" s="181"/>
      <c r="E191" s="10"/>
      <c r="F191" s="182"/>
      <c r="J191" s="183"/>
      <c r="K191" s="184"/>
    </row>
    <row r="192" ht="22.5" customHeight="1">
      <c r="C192" s="181"/>
      <c r="D192" s="181"/>
      <c r="E192" s="10"/>
      <c r="F192" s="182"/>
      <c r="J192" s="183"/>
      <c r="K192" s="184"/>
    </row>
    <row r="193" ht="22.5" customHeight="1">
      <c r="C193" s="181"/>
      <c r="D193" s="181"/>
      <c r="E193" s="10"/>
      <c r="F193" s="182"/>
      <c r="J193" s="183"/>
      <c r="K193" s="184"/>
    </row>
    <row r="194" ht="22.5" customHeight="1">
      <c r="C194" s="181"/>
      <c r="D194" s="181"/>
      <c r="E194" s="10"/>
      <c r="F194" s="182"/>
      <c r="J194" s="183"/>
      <c r="K194" s="184"/>
    </row>
    <row r="195" ht="22.5" customHeight="1">
      <c r="C195" s="181"/>
      <c r="D195" s="181"/>
      <c r="E195" s="10"/>
      <c r="F195" s="182"/>
      <c r="J195" s="183"/>
      <c r="K195" s="184"/>
    </row>
    <row r="196" ht="22.5" customHeight="1">
      <c r="C196" s="181"/>
      <c r="D196" s="181"/>
      <c r="E196" s="10"/>
      <c r="F196" s="182"/>
      <c r="J196" s="183"/>
      <c r="K196" s="184"/>
    </row>
    <row r="197" ht="22.5" customHeight="1">
      <c r="C197" s="181"/>
      <c r="D197" s="181"/>
      <c r="E197" s="10"/>
      <c r="F197" s="182"/>
      <c r="J197" s="183"/>
      <c r="K197" s="184"/>
    </row>
    <row r="198" ht="22.5" customHeight="1">
      <c r="C198" s="181"/>
      <c r="D198" s="181"/>
      <c r="E198" s="10"/>
      <c r="F198" s="182"/>
      <c r="J198" s="183"/>
      <c r="K198" s="184"/>
    </row>
    <row r="199" ht="22.5" customHeight="1">
      <c r="C199" s="181"/>
      <c r="D199" s="181"/>
      <c r="E199" s="10"/>
      <c r="F199" s="182"/>
      <c r="J199" s="183"/>
      <c r="K199" s="184"/>
    </row>
    <row r="200" ht="22.5" customHeight="1">
      <c r="C200" s="181"/>
      <c r="D200" s="181"/>
      <c r="E200" s="10"/>
      <c r="F200" s="182"/>
      <c r="J200" s="183"/>
      <c r="K200" s="184"/>
    </row>
    <row r="201" ht="22.5" customHeight="1">
      <c r="C201" s="181"/>
      <c r="D201" s="181"/>
      <c r="E201" s="10"/>
      <c r="F201" s="182"/>
      <c r="J201" s="183"/>
      <c r="K201" s="184"/>
    </row>
    <row r="202" ht="22.5" customHeight="1">
      <c r="C202" s="181"/>
      <c r="D202" s="181"/>
      <c r="E202" s="10"/>
      <c r="F202" s="182"/>
      <c r="J202" s="183"/>
      <c r="K202" s="184"/>
    </row>
    <row r="203" ht="22.5" customHeight="1">
      <c r="C203" s="181"/>
      <c r="D203" s="181"/>
      <c r="E203" s="10"/>
      <c r="F203" s="182"/>
      <c r="J203" s="183"/>
      <c r="K203" s="184"/>
    </row>
    <row r="204" ht="22.5" customHeight="1">
      <c r="C204" s="181"/>
      <c r="D204" s="181"/>
      <c r="E204" s="10"/>
      <c r="F204" s="182"/>
      <c r="J204" s="183"/>
      <c r="K204" s="184"/>
    </row>
    <row r="205" ht="22.5" customHeight="1">
      <c r="C205" s="181"/>
      <c r="D205" s="181"/>
      <c r="E205" s="10"/>
      <c r="F205" s="182"/>
      <c r="J205" s="183"/>
      <c r="K205" s="184"/>
    </row>
    <row r="206" ht="22.5" customHeight="1">
      <c r="C206" s="181"/>
      <c r="D206" s="181"/>
      <c r="E206" s="10"/>
      <c r="F206" s="182"/>
      <c r="J206" s="183"/>
      <c r="K206" s="184"/>
    </row>
    <row r="207" ht="22.5" customHeight="1">
      <c r="C207" s="181"/>
      <c r="D207" s="181"/>
      <c r="E207" s="10"/>
      <c r="F207" s="182"/>
      <c r="J207" s="183"/>
      <c r="K207" s="184"/>
    </row>
    <row r="208" ht="22.5" customHeight="1">
      <c r="C208" s="181"/>
      <c r="D208" s="181"/>
      <c r="E208" s="10"/>
      <c r="F208" s="182"/>
      <c r="J208" s="183"/>
      <c r="K208" s="184"/>
    </row>
    <row r="209" ht="22.5" customHeight="1">
      <c r="C209" s="181"/>
      <c r="D209" s="181"/>
      <c r="E209" s="10"/>
      <c r="F209" s="182"/>
      <c r="J209" s="183"/>
      <c r="K209" s="184"/>
    </row>
    <row r="210" ht="22.5" customHeight="1">
      <c r="C210" s="181"/>
      <c r="D210" s="181"/>
      <c r="E210" s="10"/>
      <c r="F210" s="182"/>
      <c r="J210" s="183"/>
      <c r="K210" s="184"/>
    </row>
    <row r="211" ht="22.5" customHeight="1">
      <c r="C211" s="181"/>
      <c r="D211" s="181"/>
      <c r="E211" s="10"/>
      <c r="F211" s="182"/>
      <c r="J211" s="183"/>
      <c r="K211" s="184"/>
    </row>
    <row r="212" ht="22.5" customHeight="1">
      <c r="C212" s="181"/>
      <c r="D212" s="181"/>
      <c r="E212" s="10"/>
      <c r="F212" s="182"/>
      <c r="J212" s="183"/>
      <c r="K212" s="184"/>
    </row>
    <row r="213" ht="22.5" customHeight="1">
      <c r="C213" s="181"/>
      <c r="D213" s="181"/>
      <c r="E213" s="10"/>
      <c r="F213" s="182"/>
      <c r="J213" s="183"/>
      <c r="K213" s="184"/>
    </row>
    <row r="214" ht="22.5" customHeight="1">
      <c r="C214" s="181"/>
      <c r="D214" s="181"/>
      <c r="E214" s="10"/>
      <c r="F214" s="182"/>
      <c r="J214" s="183"/>
      <c r="K214" s="184"/>
    </row>
    <row r="215" ht="22.5" customHeight="1">
      <c r="C215" s="181"/>
      <c r="D215" s="181"/>
      <c r="E215" s="10"/>
      <c r="F215" s="182"/>
      <c r="J215" s="183"/>
      <c r="K215" s="184"/>
    </row>
    <row r="216" ht="22.5" customHeight="1">
      <c r="C216" s="181"/>
      <c r="D216" s="181"/>
      <c r="E216" s="10"/>
      <c r="F216" s="182"/>
      <c r="J216" s="183"/>
      <c r="K216" s="184"/>
    </row>
    <row r="217" ht="22.5" customHeight="1">
      <c r="C217" s="181"/>
      <c r="D217" s="181"/>
      <c r="E217" s="10"/>
      <c r="F217" s="182"/>
      <c r="J217" s="183"/>
      <c r="K217" s="184"/>
    </row>
    <row r="218" ht="22.5" customHeight="1">
      <c r="C218" s="181"/>
      <c r="D218" s="181"/>
      <c r="E218" s="10"/>
      <c r="F218" s="182"/>
      <c r="J218" s="183"/>
      <c r="K218" s="184"/>
    </row>
    <row r="219" ht="22.5" customHeight="1">
      <c r="C219" s="181"/>
      <c r="D219" s="181"/>
      <c r="E219" s="10"/>
      <c r="F219" s="182"/>
      <c r="J219" s="183"/>
      <c r="K219" s="184"/>
    </row>
    <row r="220" ht="22.5" customHeight="1">
      <c r="C220" s="181"/>
      <c r="D220" s="181"/>
      <c r="E220" s="10"/>
      <c r="F220" s="182"/>
      <c r="J220" s="183"/>
      <c r="K220" s="184"/>
    </row>
    <row r="221" ht="22.5" customHeight="1">
      <c r="C221" s="181"/>
      <c r="D221" s="181"/>
      <c r="E221" s="10"/>
      <c r="F221" s="182"/>
      <c r="J221" s="183"/>
      <c r="K221" s="184"/>
    </row>
    <row r="222" ht="22.5" customHeight="1">
      <c r="C222" s="181"/>
      <c r="D222" s="181"/>
      <c r="E222" s="10"/>
      <c r="F222" s="182"/>
      <c r="J222" s="183"/>
      <c r="K222" s="184"/>
    </row>
    <row r="223" ht="22.5" customHeight="1">
      <c r="C223" s="181"/>
      <c r="D223" s="181"/>
      <c r="E223" s="10"/>
      <c r="F223" s="182"/>
      <c r="J223" s="183"/>
      <c r="K223" s="184"/>
    </row>
    <row r="224" ht="22.5" customHeight="1">
      <c r="C224" s="181"/>
      <c r="D224" s="181"/>
      <c r="E224" s="10"/>
      <c r="F224" s="182"/>
      <c r="J224" s="183"/>
      <c r="K224" s="184"/>
    </row>
    <row r="225" ht="22.5" customHeight="1">
      <c r="C225" s="181"/>
      <c r="D225" s="181"/>
      <c r="E225" s="10"/>
      <c r="F225" s="182"/>
      <c r="J225" s="183"/>
      <c r="K225" s="184"/>
    </row>
    <row r="226" ht="22.5" customHeight="1">
      <c r="C226" s="181"/>
      <c r="D226" s="181"/>
      <c r="E226" s="10"/>
      <c r="F226" s="182"/>
      <c r="J226" s="183"/>
      <c r="K226" s="184"/>
    </row>
    <row r="227" ht="22.5" customHeight="1">
      <c r="C227" s="181"/>
      <c r="D227" s="181"/>
      <c r="E227" s="10"/>
      <c r="F227" s="182"/>
      <c r="J227" s="183"/>
      <c r="K227" s="184"/>
    </row>
    <row r="228" ht="22.5" customHeight="1">
      <c r="C228" s="181"/>
      <c r="D228" s="181"/>
      <c r="E228" s="10"/>
      <c r="F228" s="182"/>
      <c r="J228" s="183"/>
      <c r="K228" s="184"/>
    </row>
    <row r="229" ht="22.5" customHeight="1">
      <c r="C229" s="181"/>
      <c r="D229" s="181"/>
      <c r="E229" s="10"/>
      <c r="F229" s="182"/>
      <c r="J229" s="183"/>
      <c r="K229" s="184"/>
    </row>
    <row r="230" ht="22.5" customHeight="1">
      <c r="C230" s="181"/>
      <c r="D230" s="181"/>
      <c r="E230" s="10"/>
      <c r="F230" s="182"/>
      <c r="J230" s="183"/>
      <c r="K230" s="184"/>
    </row>
    <row r="231" ht="22.5" customHeight="1">
      <c r="C231" s="181"/>
      <c r="D231" s="181"/>
      <c r="E231" s="10"/>
      <c r="F231" s="182"/>
      <c r="J231" s="183"/>
      <c r="K231" s="184"/>
    </row>
    <row r="232" ht="22.5" customHeight="1">
      <c r="C232" s="181"/>
      <c r="D232" s="181"/>
      <c r="E232" s="10"/>
      <c r="F232" s="182"/>
      <c r="J232" s="183"/>
      <c r="K232" s="184"/>
    </row>
    <row r="233" ht="22.5" customHeight="1">
      <c r="C233" s="181"/>
      <c r="D233" s="181"/>
      <c r="E233" s="10"/>
      <c r="F233" s="182"/>
      <c r="J233" s="183"/>
      <c r="K233" s="184"/>
    </row>
    <row r="234" ht="22.5" customHeight="1">
      <c r="C234" s="181"/>
      <c r="D234" s="181"/>
      <c r="E234" s="10"/>
      <c r="F234" s="182"/>
      <c r="J234" s="183"/>
      <c r="K234" s="184"/>
    </row>
    <row r="235" ht="22.5" customHeight="1">
      <c r="C235" s="181"/>
      <c r="D235" s="181"/>
      <c r="E235" s="10"/>
      <c r="F235" s="182"/>
      <c r="J235" s="183"/>
      <c r="K235" s="184"/>
    </row>
    <row r="236" ht="22.5" customHeight="1">
      <c r="C236" s="181"/>
      <c r="D236" s="181"/>
      <c r="E236" s="10"/>
      <c r="F236" s="182"/>
      <c r="J236" s="183"/>
      <c r="K236" s="184"/>
    </row>
    <row r="237" ht="22.5" customHeight="1">
      <c r="C237" s="181"/>
      <c r="D237" s="181"/>
      <c r="E237" s="10"/>
      <c r="F237" s="182"/>
      <c r="J237" s="183"/>
      <c r="K237" s="184"/>
    </row>
    <row r="238" ht="22.5" customHeight="1">
      <c r="C238" s="181"/>
      <c r="D238" s="181"/>
      <c r="E238" s="10"/>
      <c r="F238" s="182"/>
      <c r="J238" s="183"/>
      <c r="K238" s="184"/>
    </row>
    <row r="239" ht="22.5" customHeight="1">
      <c r="C239" s="181"/>
      <c r="D239" s="181"/>
      <c r="E239" s="10"/>
      <c r="F239" s="182"/>
      <c r="J239" s="183"/>
      <c r="K239" s="184"/>
    </row>
    <row r="240" ht="22.5" customHeight="1">
      <c r="C240" s="181"/>
      <c r="D240" s="181"/>
      <c r="E240" s="10"/>
      <c r="F240" s="182"/>
      <c r="J240" s="183"/>
      <c r="K240" s="184"/>
    </row>
    <row r="241" ht="22.5" customHeight="1">
      <c r="C241" s="181"/>
      <c r="D241" s="181"/>
      <c r="E241" s="10"/>
      <c r="F241" s="182"/>
      <c r="J241" s="183"/>
      <c r="K241" s="184"/>
    </row>
    <row r="242" ht="22.5" customHeight="1">
      <c r="C242" s="181"/>
      <c r="D242" s="181"/>
      <c r="E242" s="10"/>
      <c r="F242" s="182"/>
      <c r="J242" s="183"/>
      <c r="K242" s="184"/>
    </row>
    <row r="243" ht="22.5" customHeight="1">
      <c r="C243" s="181"/>
      <c r="D243" s="181"/>
      <c r="E243" s="10"/>
      <c r="F243" s="182"/>
      <c r="J243" s="183"/>
      <c r="K243" s="184"/>
    </row>
    <row r="244" ht="22.5" customHeight="1">
      <c r="C244" s="181"/>
      <c r="D244" s="181"/>
      <c r="E244" s="10"/>
      <c r="F244" s="182"/>
      <c r="J244" s="183"/>
      <c r="K244" s="184"/>
    </row>
    <row r="245" ht="22.5" customHeight="1">
      <c r="C245" s="181"/>
      <c r="D245" s="181"/>
      <c r="E245" s="10"/>
      <c r="F245" s="182"/>
      <c r="J245" s="183"/>
      <c r="K245" s="184"/>
    </row>
    <row r="246" ht="22.5" customHeight="1">
      <c r="C246" s="181"/>
      <c r="D246" s="181"/>
      <c r="E246" s="10"/>
      <c r="F246" s="182"/>
      <c r="J246" s="183"/>
      <c r="K246" s="184"/>
    </row>
    <row r="247" ht="22.5" customHeight="1">
      <c r="C247" s="181"/>
      <c r="D247" s="181"/>
      <c r="E247" s="10"/>
      <c r="F247" s="182"/>
      <c r="J247" s="183"/>
      <c r="K247" s="184"/>
    </row>
    <row r="248" ht="22.5" customHeight="1">
      <c r="C248" s="181"/>
      <c r="D248" s="181"/>
      <c r="E248" s="10"/>
      <c r="F248" s="182"/>
      <c r="J248" s="183"/>
      <c r="K248" s="184"/>
    </row>
    <row r="249" ht="22.5" customHeight="1">
      <c r="C249" s="181"/>
      <c r="D249" s="181"/>
      <c r="E249" s="10"/>
      <c r="F249" s="182"/>
      <c r="J249" s="183"/>
      <c r="K249" s="184"/>
    </row>
    <row r="250" ht="22.5" customHeight="1">
      <c r="C250" s="181"/>
      <c r="D250" s="181"/>
      <c r="E250" s="10"/>
      <c r="F250" s="182"/>
      <c r="J250" s="183"/>
      <c r="K250" s="184"/>
    </row>
    <row r="251" ht="22.5" customHeight="1">
      <c r="C251" s="181"/>
      <c r="D251" s="181"/>
      <c r="E251" s="10"/>
      <c r="F251" s="182"/>
      <c r="J251" s="183"/>
      <c r="K251" s="184"/>
    </row>
    <row r="252" ht="22.5" customHeight="1">
      <c r="C252" s="181"/>
      <c r="D252" s="181"/>
      <c r="E252" s="10"/>
      <c r="F252" s="182"/>
      <c r="J252" s="183"/>
      <c r="K252" s="184"/>
    </row>
    <row r="253" ht="22.5" customHeight="1">
      <c r="C253" s="181"/>
      <c r="D253" s="181"/>
      <c r="E253" s="10"/>
      <c r="F253" s="182"/>
      <c r="J253" s="183"/>
      <c r="K253" s="184"/>
    </row>
    <row r="254" ht="22.5" customHeight="1">
      <c r="C254" s="181"/>
      <c r="D254" s="181"/>
      <c r="E254" s="10"/>
      <c r="F254" s="182"/>
      <c r="J254" s="183"/>
      <c r="K254" s="184"/>
    </row>
    <row r="255" ht="22.5" customHeight="1">
      <c r="C255" s="181"/>
      <c r="D255" s="181"/>
      <c r="E255" s="10"/>
      <c r="F255" s="182"/>
      <c r="J255" s="183"/>
      <c r="K255" s="184"/>
    </row>
    <row r="256" ht="22.5" customHeight="1">
      <c r="C256" s="181"/>
      <c r="D256" s="181"/>
      <c r="E256" s="10"/>
      <c r="F256" s="182"/>
      <c r="J256" s="183"/>
      <c r="K256" s="184"/>
    </row>
    <row r="257" ht="22.5" customHeight="1">
      <c r="C257" s="181"/>
      <c r="D257" s="181"/>
      <c r="E257" s="10"/>
      <c r="F257" s="182"/>
      <c r="J257" s="183"/>
      <c r="K257" s="184"/>
    </row>
    <row r="258" ht="22.5" customHeight="1">
      <c r="C258" s="181"/>
      <c r="D258" s="181"/>
      <c r="E258" s="10"/>
      <c r="F258" s="182"/>
      <c r="J258" s="183"/>
      <c r="K258" s="184"/>
    </row>
    <row r="259" ht="22.5" customHeight="1">
      <c r="C259" s="181"/>
      <c r="D259" s="181"/>
      <c r="E259" s="10"/>
      <c r="F259" s="182"/>
      <c r="J259" s="183"/>
      <c r="K259" s="184"/>
    </row>
    <row r="260" ht="22.5" customHeight="1">
      <c r="C260" s="181"/>
      <c r="D260" s="181"/>
      <c r="E260" s="10"/>
      <c r="F260" s="182"/>
      <c r="J260" s="183"/>
      <c r="K260" s="184"/>
    </row>
    <row r="261" ht="22.5" customHeight="1">
      <c r="C261" s="181"/>
      <c r="D261" s="181"/>
      <c r="E261" s="10"/>
      <c r="F261" s="182"/>
      <c r="J261" s="183"/>
      <c r="K261" s="184"/>
    </row>
    <row r="262" ht="22.5" customHeight="1">
      <c r="C262" s="181"/>
      <c r="D262" s="181"/>
      <c r="E262" s="10"/>
      <c r="F262" s="182"/>
      <c r="J262" s="183"/>
      <c r="K262" s="184"/>
    </row>
    <row r="263" ht="22.5" customHeight="1">
      <c r="C263" s="181"/>
      <c r="D263" s="181"/>
      <c r="E263" s="10"/>
      <c r="F263" s="182"/>
      <c r="J263" s="183"/>
      <c r="K263" s="184"/>
    </row>
    <row r="264" ht="22.5" customHeight="1">
      <c r="C264" s="181"/>
      <c r="D264" s="181"/>
      <c r="E264" s="10"/>
      <c r="F264" s="182"/>
      <c r="J264" s="183"/>
      <c r="K264" s="184"/>
    </row>
    <row r="265" ht="22.5" customHeight="1">
      <c r="C265" s="181"/>
      <c r="D265" s="181"/>
      <c r="E265" s="10"/>
      <c r="F265" s="182"/>
      <c r="J265" s="183"/>
      <c r="K265" s="184"/>
    </row>
    <row r="266" ht="22.5" customHeight="1">
      <c r="C266" s="181"/>
      <c r="D266" s="181"/>
      <c r="E266" s="10"/>
      <c r="F266" s="182"/>
      <c r="J266" s="183"/>
      <c r="K266" s="184"/>
    </row>
    <row r="267" ht="22.5" customHeight="1">
      <c r="C267" s="181"/>
      <c r="D267" s="181"/>
      <c r="E267" s="10"/>
      <c r="F267" s="182"/>
      <c r="J267" s="183"/>
      <c r="K267" s="184"/>
    </row>
    <row r="268" ht="22.5" customHeight="1">
      <c r="C268" s="181"/>
      <c r="D268" s="181"/>
      <c r="E268" s="10"/>
      <c r="F268" s="182"/>
      <c r="J268" s="183"/>
      <c r="K268" s="184"/>
    </row>
    <row r="269" ht="22.5" customHeight="1">
      <c r="C269" s="181"/>
      <c r="D269" s="181"/>
      <c r="E269" s="10"/>
      <c r="F269" s="182"/>
      <c r="J269" s="183"/>
      <c r="K269" s="184"/>
    </row>
    <row r="270" ht="22.5" customHeight="1">
      <c r="C270" s="181"/>
      <c r="D270" s="181"/>
      <c r="E270" s="10"/>
      <c r="F270" s="182"/>
      <c r="J270" s="183"/>
      <c r="K270" s="184"/>
    </row>
    <row r="271" ht="22.5" customHeight="1">
      <c r="C271" s="181"/>
      <c r="D271" s="181"/>
      <c r="E271" s="10"/>
      <c r="F271" s="182"/>
      <c r="J271" s="183"/>
      <c r="K271" s="184"/>
    </row>
    <row r="272" ht="22.5" customHeight="1">
      <c r="C272" s="181"/>
      <c r="D272" s="181"/>
      <c r="E272" s="10"/>
      <c r="F272" s="182"/>
      <c r="J272" s="183"/>
      <c r="K272" s="184"/>
    </row>
    <row r="273" ht="22.5" customHeight="1">
      <c r="C273" s="181"/>
      <c r="D273" s="181"/>
      <c r="E273" s="10"/>
      <c r="F273" s="182"/>
      <c r="J273" s="183"/>
      <c r="K273" s="184"/>
    </row>
    <row r="274" ht="22.5" customHeight="1">
      <c r="C274" s="181"/>
      <c r="D274" s="181"/>
      <c r="E274" s="10"/>
      <c r="F274" s="182"/>
      <c r="J274" s="183"/>
      <c r="K274" s="184"/>
    </row>
    <row r="275" ht="22.5" customHeight="1">
      <c r="C275" s="181"/>
      <c r="D275" s="181"/>
      <c r="E275" s="10"/>
      <c r="F275" s="182"/>
      <c r="J275" s="183"/>
      <c r="K275" s="184"/>
    </row>
    <row r="276" ht="22.5" customHeight="1">
      <c r="C276" s="181"/>
      <c r="D276" s="181"/>
      <c r="E276" s="10"/>
      <c r="F276" s="182"/>
      <c r="J276" s="183"/>
      <c r="K276" s="184"/>
    </row>
    <row r="277" ht="22.5" customHeight="1">
      <c r="C277" s="181"/>
      <c r="D277" s="181"/>
      <c r="E277" s="10"/>
      <c r="F277" s="182"/>
      <c r="J277" s="183"/>
      <c r="K277" s="184"/>
    </row>
    <row r="278" ht="22.5" customHeight="1">
      <c r="C278" s="181"/>
      <c r="D278" s="181"/>
      <c r="E278" s="10"/>
      <c r="F278" s="182"/>
      <c r="J278" s="183"/>
      <c r="K278" s="184"/>
    </row>
    <row r="279" ht="22.5" customHeight="1">
      <c r="C279" s="181"/>
      <c r="D279" s="181"/>
      <c r="E279" s="10"/>
      <c r="F279" s="182"/>
      <c r="J279" s="183"/>
      <c r="K279" s="184"/>
    </row>
    <row r="280" ht="22.5" customHeight="1">
      <c r="C280" s="181"/>
      <c r="D280" s="181"/>
      <c r="E280" s="10"/>
      <c r="F280" s="182"/>
      <c r="J280" s="183"/>
      <c r="K280" s="184"/>
    </row>
    <row r="281" ht="22.5" customHeight="1">
      <c r="C281" s="181"/>
      <c r="D281" s="181"/>
      <c r="E281" s="10"/>
      <c r="F281" s="182"/>
      <c r="J281" s="183"/>
      <c r="K281" s="184"/>
    </row>
    <row r="282" ht="22.5" customHeight="1">
      <c r="C282" s="181"/>
      <c r="D282" s="181"/>
      <c r="E282" s="10"/>
      <c r="F282" s="182"/>
      <c r="J282" s="183"/>
      <c r="K282" s="184"/>
    </row>
    <row r="283" ht="22.5" customHeight="1">
      <c r="C283" s="181"/>
      <c r="D283" s="181"/>
      <c r="E283" s="10"/>
      <c r="F283" s="182"/>
      <c r="J283" s="183"/>
      <c r="K283" s="184"/>
    </row>
    <row r="284" ht="22.5" customHeight="1">
      <c r="C284" s="181"/>
      <c r="D284" s="181"/>
      <c r="E284" s="10"/>
      <c r="F284" s="182"/>
      <c r="J284" s="183"/>
      <c r="K284" s="184"/>
    </row>
    <row r="285" ht="22.5" customHeight="1">
      <c r="C285" s="181"/>
      <c r="D285" s="181"/>
      <c r="E285" s="10"/>
      <c r="F285" s="182"/>
      <c r="J285" s="183"/>
      <c r="K285" s="184"/>
    </row>
    <row r="286" ht="22.5" customHeight="1">
      <c r="C286" s="181"/>
      <c r="D286" s="181"/>
      <c r="E286" s="10"/>
      <c r="F286" s="182"/>
      <c r="J286" s="183"/>
      <c r="K286" s="184"/>
    </row>
    <row r="287" ht="22.5" customHeight="1">
      <c r="C287" s="181"/>
      <c r="D287" s="181"/>
      <c r="E287" s="10"/>
      <c r="F287" s="182"/>
      <c r="J287" s="183"/>
      <c r="K287" s="184"/>
    </row>
    <row r="288" ht="22.5" customHeight="1">
      <c r="C288" s="181"/>
      <c r="D288" s="181"/>
      <c r="E288" s="10"/>
      <c r="F288" s="182"/>
      <c r="J288" s="183"/>
      <c r="K288" s="184"/>
    </row>
    <row r="289" ht="22.5" customHeight="1">
      <c r="C289" s="181"/>
      <c r="D289" s="181"/>
      <c r="E289" s="10"/>
      <c r="F289" s="182"/>
      <c r="J289" s="183"/>
      <c r="K289" s="184"/>
    </row>
    <row r="290" ht="22.5" customHeight="1">
      <c r="C290" s="181"/>
      <c r="D290" s="181"/>
      <c r="E290" s="10"/>
      <c r="F290" s="182"/>
      <c r="J290" s="183"/>
      <c r="K290" s="184"/>
    </row>
    <row r="291" ht="22.5" customHeight="1">
      <c r="C291" s="181"/>
      <c r="D291" s="181"/>
      <c r="E291" s="10"/>
      <c r="F291" s="182"/>
      <c r="J291" s="183"/>
      <c r="K291" s="184"/>
    </row>
    <row r="292" ht="22.5" customHeight="1">
      <c r="C292" s="181"/>
      <c r="D292" s="181"/>
      <c r="E292" s="10"/>
      <c r="F292" s="182"/>
      <c r="J292" s="183"/>
      <c r="K292" s="184"/>
    </row>
    <row r="293" ht="22.5" customHeight="1">
      <c r="C293" s="181"/>
      <c r="D293" s="181"/>
      <c r="E293" s="10"/>
      <c r="F293" s="182"/>
      <c r="J293" s="183"/>
      <c r="K293" s="184"/>
    </row>
    <row r="294" ht="22.5" customHeight="1">
      <c r="C294" s="181"/>
      <c r="D294" s="181"/>
      <c r="E294" s="10"/>
      <c r="F294" s="182"/>
      <c r="J294" s="183"/>
      <c r="K294" s="184"/>
    </row>
    <row r="295" ht="22.5" customHeight="1">
      <c r="C295" s="181"/>
      <c r="D295" s="181"/>
      <c r="E295" s="10"/>
      <c r="F295" s="182"/>
      <c r="J295" s="183"/>
      <c r="K295" s="184"/>
    </row>
    <row r="296" ht="22.5" customHeight="1">
      <c r="C296" s="181"/>
      <c r="D296" s="181"/>
      <c r="E296" s="10"/>
      <c r="F296" s="182"/>
      <c r="J296" s="183"/>
      <c r="K296" s="184"/>
    </row>
    <row r="297" ht="22.5" customHeight="1">
      <c r="C297" s="181"/>
      <c r="D297" s="181"/>
      <c r="E297" s="10"/>
      <c r="F297" s="182"/>
      <c r="J297" s="183"/>
      <c r="K297" s="184"/>
    </row>
    <row r="298" ht="22.5" customHeight="1">
      <c r="C298" s="181"/>
      <c r="D298" s="181"/>
      <c r="E298" s="10"/>
      <c r="F298" s="182"/>
      <c r="J298" s="183"/>
      <c r="K298" s="184"/>
    </row>
    <row r="299" ht="22.5" customHeight="1">
      <c r="C299" s="181"/>
      <c r="D299" s="181"/>
      <c r="E299" s="10"/>
      <c r="F299" s="182"/>
      <c r="J299" s="183"/>
      <c r="K299" s="184"/>
    </row>
    <row r="300" ht="22.5" customHeight="1">
      <c r="C300" s="181"/>
      <c r="D300" s="181"/>
      <c r="E300" s="10"/>
      <c r="F300" s="182"/>
      <c r="J300" s="183"/>
      <c r="K300" s="184"/>
    </row>
    <row r="301" ht="22.5" customHeight="1">
      <c r="C301" s="181"/>
      <c r="D301" s="181"/>
      <c r="E301" s="10"/>
      <c r="F301" s="182"/>
      <c r="J301" s="183"/>
      <c r="K301" s="184"/>
    </row>
    <row r="302" ht="22.5" customHeight="1">
      <c r="C302" s="181"/>
      <c r="D302" s="181"/>
      <c r="E302" s="10"/>
      <c r="F302" s="182"/>
      <c r="J302" s="183"/>
      <c r="K302" s="184"/>
    </row>
    <row r="303" ht="22.5" customHeight="1">
      <c r="C303" s="181"/>
      <c r="D303" s="181"/>
      <c r="E303" s="10"/>
      <c r="F303" s="182"/>
      <c r="J303" s="183"/>
      <c r="K303" s="184"/>
    </row>
    <row r="304" ht="22.5" customHeight="1">
      <c r="C304" s="181"/>
      <c r="D304" s="181"/>
      <c r="E304" s="10"/>
      <c r="F304" s="182"/>
      <c r="J304" s="183"/>
      <c r="K304" s="184"/>
    </row>
    <row r="305" ht="22.5" customHeight="1">
      <c r="C305" s="181"/>
      <c r="D305" s="181"/>
      <c r="E305" s="10"/>
      <c r="F305" s="182"/>
      <c r="J305" s="183"/>
      <c r="K305" s="184"/>
    </row>
    <row r="306" ht="22.5" customHeight="1">
      <c r="C306" s="181"/>
      <c r="D306" s="181"/>
      <c r="E306" s="10"/>
      <c r="F306" s="182"/>
      <c r="J306" s="183"/>
      <c r="K306" s="184"/>
    </row>
    <row r="307" ht="22.5" customHeight="1">
      <c r="C307" s="181"/>
      <c r="D307" s="181"/>
      <c r="E307" s="10"/>
      <c r="F307" s="182"/>
      <c r="J307" s="183"/>
      <c r="K307" s="184"/>
    </row>
    <row r="308" ht="22.5" customHeight="1">
      <c r="C308" s="181"/>
      <c r="D308" s="181"/>
      <c r="E308" s="10"/>
      <c r="F308" s="182"/>
      <c r="J308" s="183"/>
      <c r="K308" s="184"/>
    </row>
    <row r="309" ht="22.5" customHeight="1">
      <c r="C309" s="181"/>
      <c r="D309" s="181"/>
      <c r="E309" s="10"/>
      <c r="F309" s="182"/>
      <c r="J309" s="183"/>
      <c r="K309" s="184"/>
    </row>
    <row r="310" ht="22.5" customHeight="1">
      <c r="C310" s="181"/>
      <c r="D310" s="181"/>
      <c r="E310" s="10"/>
      <c r="F310" s="182"/>
      <c r="J310" s="183"/>
      <c r="K310" s="184"/>
    </row>
    <row r="311" ht="22.5" customHeight="1">
      <c r="C311" s="181"/>
      <c r="D311" s="181"/>
      <c r="E311" s="10"/>
      <c r="F311" s="182"/>
      <c r="J311" s="183"/>
      <c r="K311" s="184"/>
    </row>
    <row r="312" ht="22.5" customHeight="1">
      <c r="C312" s="181"/>
      <c r="D312" s="181"/>
      <c r="E312" s="10"/>
      <c r="F312" s="182"/>
      <c r="J312" s="183"/>
      <c r="K312" s="184"/>
    </row>
    <row r="313" ht="22.5" customHeight="1">
      <c r="C313" s="181"/>
      <c r="D313" s="181"/>
      <c r="E313" s="10"/>
      <c r="F313" s="182"/>
      <c r="J313" s="183"/>
      <c r="K313" s="184"/>
    </row>
    <row r="314" ht="22.5" customHeight="1">
      <c r="C314" s="181"/>
      <c r="D314" s="181"/>
      <c r="E314" s="10"/>
      <c r="F314" s="182"/>
      <c r="J314" s="183"/>
      <c r="K314" s="184"/>
    </row>
    <row r="315" ht="22.5" customHeight="1">
      <c r="C315" s="181"/>
      <c r="D315" s="181"/>
      <c r="E315" s="10"/>
      <c r="F315" s="182"/>
      <c r="J315" s="183"/>
      <c r="K315" s="184"/>
    </row>
    <row r="316" ht="22.5" customHeight="1">
      <c r="C316" s="181"/>
      <c r="D316" s="181"/>
      <c r="E316" s="10"/>
      <c r="F316" s="182"/>
      <c r="J316" s="183"/>
      <c r="K316" s="184"/>
    </row>
    <row r="317" ht="22.5" customHeight="1">
      <c r="C317" s="181"/>
      <c r="D317" s="181"/>
      <c r="E317" s="10"/>
      <c r="F317" s="182"/>
      <c r="J317" s="183"/>
      <c r="K317" s="184"/>
    </row>
    <row r="318" ht="22.5" customHeight="1">
      <c r="C318" s="181"/>
      <c r="D318" s="181"/>
      <c r="E318" s="10"/>
      <c r="F318" s="182"/>
      <c r="J318" s="183"/>
      <c r="K318" s="184"/>
    </row>
    <row r="319" ht="22.5" customHeight="1">
      <c r="C319" s="181"/>
      <c r="D319" s="181"/>
      <c r="E319" s="10"/>
      <c r="F319" s="182"/>
      <c r="J319" s="183"/>
      <c r="K319" s="184"/>
    </row>
    <row r="320" ht="22.5" customHeight="1">
      <c r="C320" s="181"/>
      <c r="D320" s="181"/>
      <c r="E320" s="10"/>
      <c r="F320" s="182"/>
      <c r="J320" s="183"/>
      <c r="K320" s="184"/>
    </row>
    <row r="321" ht="22.5" customHeight="1">
      <c r="C321" s="181"/>
      <c r="D321" s="181"/>
      <c r="E321" s="10"/>
      <c r="F321" s="182"/>
      <c r="J321" s="183"/>
      <c r="K321" s="184"/>
    </row>
    <row r="322" ht="22.5" customHeight="1">
      <c r="C322" s="181"/>
      <c r="D322" s="181"/>
      <c r="E322" s="10"/>
      <c r="F322" s="182"/>
      <c r="J322" s="183"/>
      <c r="K322" s="184"/>
    </row>
    <row r="323" ht="22.5" customHeight="1">
      <c r="C323" s="181"/>
      <c r="D323" s="181"/>
      <c r="E323" s="10"/>
      <c r="F323" s="182"/>
      <c r="J323" s="183"/>
      <c r="K323" s="184"/>
    </row>
    <row r="324" ht="22.5" customHeight="1">
      <c r="C324" s="181"/>
      <c r="D324" s="181"/>
      <c r="E324" s="10"/>
      <c r="F324" s="182"/>
      <c r="J324" s="183"/>
      <c r="K324" s="184"/>
    </row>
    <row r="325" ht="22.5" customHeight="1">
      <c r="C325" s="181"/>
      <c r="D325" s="181"/>
      <c r="E325" s="10"/>
      <c r="F325" s="182"/>
      <c r="J325" s="183"/>
      <c r="K325" s="184"/>
    </row>
    <row r="326" ht="22.5" customHeight="1">
      <c r="C326" s="181"/>
      <c r="D326" s="181"/>
      <c r="E326" s="10"/>
      <c r="F326" s="182"/>
      <c r="J326" s="183"/>
      <c r="K326" s="184"/>
    </row>
    <row r="327" ht="22.5" customHeight="1">
      <c r="C327" s="181"/>
      <c r="D327" s="181"/>
      <c r="E327" s="10"/>
      <c r="F327" s="182"/>
      <c r="J327" s="183"/>
      <c r="K327" s="184"/>
    </row>
    <row r="328" ht="22.5" customHeight="1">
      <c r="C328" s="181"/>
      <c r="D328" s="181"/>
      <c r="E328" s="10"/>
      <c r="F328" s="182"/>
      <c r="J328" s="183"/>
      <c r="K328" s="184"/>
    </row>
    <row r="329" ht="22.5" customHeight="1">
      <c r="C329" s="181"/>
      <c r="D329" s="181"/>
      <c r="E329" s="10"/>
      <c r="F329" s="182"/>
      <c r="J329" s="183"/>
      <c r="K329" s="184"/>
    </row>
    <row r="330" ht="22.5" customHeight="1">
      <c r="C330" s="181"/>
      <c r="D330" s="181"/>
      <c r="E330" s="10"/>
      <c r="F330" s="182"/>
      <c r="J330" s="183"/>
      <c r="K330" s="184"/>
    </row>
    <row r="331" ht="22.5" customHeight="1">
      <c r="C331" s="181"/>
      <c r="D331" s="181"/>
      <c r="E331" s="10"/>
      <c r="F331" s="182"/>
      <c r="J331" s="183"/>
      <c r="K331" s="184"/>
    </row>
    <row r="332" ht="22.5" customHeight="1">
      <c r="C332" s="181"/>
      <c r="D332" s="181"/>
      <c r="E332" s="10"/>
      <c r="F332" s="182"/>
      <c r="J332" s="183"/>
      <c r="K332" s="184"/>
    </row>
    <row r="333" ht="22.5" customHeight="1">
      <c r="C333" s="181"/>
      <c r="D333" s="181"/>
      <c r="E333" s="10"/>
      <c r="F333" s="182"/>
      <c r="J333" s="183"/>
      <c r="K333" s="184"/>
    </row>
    <row r="334" ht="22.5" customHeight="1">
      <c r="C334" s="181"/>
      <c r="D334" s="181"/>
      <c r="E334" s="10"/>
      <c r="F334" s="182"/>
      <c r="J334" s="183"/>
      <c r="K334" s="184"/>
    </row>
    <row r="335" ht="22.5" customHeight="1">
      <c r="C335" s="181"/>
      <c r="D335" s="181"/>
      <c r="E335" s="10"/>
      <c r="F335" s="182"/>
      <c r="J335" s="183"/>
      <c r="K335" s="184"/>
    </row>
    <row r="336" ht="22.5" customHeight="1">
      <c r="C336" s="181"/>
      <c r="D336" s="181"/>
      <c r="E336" s="10"/>
      <c r="F336" s="182"/>
      <c r="J336" s="183"/>
      <c r="K336" s="184"/>
    </row>
    <row r="337" ht="22.5" customHeight="1">
      <c r="C337" s="181"/>
      <c r="D337" s="181"/>
      <c r="E337" s="10"/>
      <c r="F337" s="182"/>
      <c r="J337" s="183"/>
      <c r="K337" s="184"/>
    </row>
    <row r="338" ht="22.5" customHeight="1">
      <c r="C338" s="181"/>
      <c r="D338" s="181"/>
      <c r="E338" s="10"/>
      <c r="F338" s="182"/>
      <c r="J338" s="183"/>
      <c r="K338" s="184"/>
    </row>
    <row r="339" ht="22.5" customHeight="1">
      <c r="C339" s="181"/>
      <c r="D339" s="181"/>
      <c r="E339" s="10"/>
      <c r="F339" s="182"/>
      <c r="J339" s="183"/>
      <c r="K339" s="184"/>
    </row>
    <row r="340" ht="22.5" customHeight="1">
      <c r="C340" s="181"/>
      <c r="D340" s="181"/>
      <c r="E340" s="10"/>
      <c r="F340" s="182"/>
      <c r="J340" s="183"/>
      <c r="K340" s="184"/>
    </row>
    <row r="341" ht="22.5" customHeight="1">
      <c r="C341" s="181"/>
      <c r="D341" s="181"/>
      <c r="E341" s="10"/>
      <c r="F341" s="182"/>
      <c r="J341" s="183"/>
      <c r="K341" s="184"/>
    </row>
    <row r="342" ht="22.5" customHeight="1">
      <c r="C342" s="181"/>
      <c r="D342" s="181"/>
      <c r="E342" s="10"/>
      <c r="F342" s="182"/>
      <c r="J342" s="183"/>
      <c r="K342" s="184"/>
    </row>
    <row r="343" ht="22.5" customHeight="1">
      <c r="C343" s="181"/>
      <c r="D343" s="181"/>
      <c r="E343" s="10"/>
      <c r="F343" s="182"/>
      <c r="J343" s="183"/>
      <c r="K343" s="184"/>
    </row>
    <row r="344" ht="22.5" customHeight="1">
      <c r="C344" s="181"/>
      <c r="D344" s="181"/>
      <c r="E344" s="10"/>
      <c r="F344" s="182"/>
      <c r="J344" s="183"/>
      <c r="K344" s="184"/>
    </row>
    <row r="345" ht="22.5" customHeight="1">
      <c r="C345" s="181"/>
      <c r="D345" s="181"/>
      <c r="E345" s="10"/>
      <c r="F345" s="182"/>
      <c r="J345" s="183"/>
      <c r="K345" s="184"/>
    </row>
    <row r="346" ht="22.5" customHeight="1">
      <c r="C346" s="181"/>
      <c r="D346" s="181"/>
      <c r="E346" s="10"/>
      <c r="F346" s="182"/>
      <c r="J346" s="183"/>
      <c r="K346" s="184"/>
    </row>
    <row r="347" ht="22.5" customHeight="1">
      <c r="C347" s="181"/>
      <c r="D347" s="181"/>
      <c r="E347" s="10"/>
      <c r="F347" s="182"/>
      <c r="J347" s="183"/>
      <c r="K347" s="184"/>
    </row>
    <row r="348" ht="22.5" customHeight="1">
      <c r="C348" s="181"/>
      <c r="D348" s="181"/>
      <c r="E348" s="10"/>
      <c r="F348" s="182"/>
      <c r="J348" s="183"/>
      <c r="K348" s="184"/>
    </row>
    <row r="349" ht="22.5" customHeight="1">
      <c r="C349" s="181"/>
      <c r="D349" s="181"/>
      <c r="E349" s="10"/>
      <c r="F349" s="182"/>
      <c r="J349" s="183"/>
      <c r="K349" s="184"/>
    </row>
    <row r="350" ht="22.5" customHeight="1">
      <c r="C350" s="181"/>
      <c r="D350" s="181"/>
      <c r="E350" s="10"/>
      <c r="F350" s="182"/>
      <c r="J350" s="183"/>
      <c r="K350" s="184"/>
    </row>
    <row r="351" ht="22.5" customHeight="1">
      <c r="C351" s="181"/>
      <c r="D351" s="181"/>
      <c r="E351" s="10"/>
      <c r="F351" s="182"/>
      <c r="J351" s="183"/>
      <c r="K351" s="184"/>
    </row>
    <row r="352" ht="22.5" customHeight="1">
      <c r="C352" s="181"/>
      <c r="D352" s="181"/>
      <c r="E352" s="10"/>
      <c r="F352" s="182"/>
      <c r="J352" s="183"/>
      <c r="K352" s="184"/>
    </row>
    <row r="353" ht="22.5" customHeight="1">
      <c r="C353" s="181"/>
      <c r="D353" s="181"/>
      <c r="E353" s="10"/>
      <c r="F353" s="182"/>
      <c r="J353" s="183"/>
      <c r="K353" s="184"/>
    </row>
    <row r="354" ht="22.5" customHeight="1">
      <c r="C354" s="181"/>
      <c r="D354" s="181"/>
      <c r="E354" s="10"/>
      <c r="F354" s="182"/>
      <c r="J354" s="183"/>
      <c r="K354" s="184"/>
    </row>
    <row r="355" ht="22.5" customHeight="1">
      <c r="C355" s="181"/>
      <c r="D355" s="181"/>
      <c r="E355" s="10"/>
      <c r="F355" s="182"/>
      <c r="J355" s="183"/>
      <c r="K355" s="184"/>
    </row>
    <row r="356" ht="22.5" customHeight="1">
      <c r="C356" s="181"/>
      <c r="D356" s="181"/>
      <c r="E356" s="10"/>
      <c r="F356" s="182"/>
      <c r="J356" s="183"/>
      <c r="K356" s="184"/>
    </row>
    <row r="357" ht="22.5" customHeight="1">
      <c r="C357" s="181"/>
      <c r="D357" s="181"/>
      <c r="E357" s="10"/>
      <c r="F357" s="182"/>
      <c r="J357" s="183"/>
      <c r="K357" s="184"/>
    </row>
    <row r="358" ht="22.5" customHeight="1">
      <c r="C358" s="181"/>
      <c r="D358" s="181"/>
      <c r="E358" s="10"/>
      <c r="F358" s="182"/>
      <c r="J358" s="183"/>
      <c r="K358" s="184"/>
    </row>
    <row r="359" ht="22.5" customHeight="1">
      <c r="C359" s="181"/>
      <c r="D359" s="181"/>
      <c r="E359" s="10"/>
      <c r="F359" s="182"/>
      <c r="J359" s="183"/>
      <c r="K359" s="184"/>
    </row>
    <row r="360" ht="22.5" customHeight="1">
      <c r="C360" s="181"/>
      <c r="D360" s="181"/>
      <c r="E360" s="10"/>
      <c r="F360" s="182"/>
      <c r="J360" s="183"/>
      <c r="K360" s="184"/>
    </row>
    <row r="361" ht="22.5" customHeight="1">
      <c r="C361" s="181"/>
      <c r="D361" s="181"/>
      <c r="E361" s="10"/>
      <c r="F361" s="182"/>
      <c r="J361" s="183"/>
      <c r="K361" s="184"/>
    </row>
    <row r="362" ht="22.5" customHeight="1">
      <c r="C362" s="181"/>
      <c r="D362" s="181"/>
      <c r="E362" s="10"/>
      <c r="F362" s="182"/>
      <c r="J362" s="183"/>
      <c r="K362" s="184"/>
    </row>
    <row r="363" ht="22.5" customHeight="1">
      <c r="C363" s="181"/>
      <c r="D363" s="181"/>
      <c r="E363" s="10"/>
      <c r="F363" s="182"/>
      <c r="J363" s="183"/>
      <c r="K363" s="184"/>
    </row>
    <row r="364" ht="22.5" customHeight="1">
      <c r="C364" s="181"/>
      <c r="D364" s="181"/>
      <c r="E364" s="10"/>
      <c r="F364" s="182"/>
      <c r="J364" s="183"/>
      <c r="K364" s="184"/>
    </row>
    <row r="365" ht="22.5" customHeight="1">
      <c r="C365" s="181"/>
      <c r="D365" s="181"/>
      <c r="E365" s="10"/>
      <c r="F365" s="182"/>
      <c r="J365" s="183"/>
      <c r="K365" s="184"/>
    </row>
    <row r="366" ht="22.5" customHeight="1">
      <c r="C366" s="181"/>
      <c r="D366" s="181"/>
      <c r="E366" s="10"/>
      <c r="F366" s="182"/>
      <c r="J366" s="183"/>
      <c r="K366" s="184"/>
    </row>
    <row r="367" ht="22.5" customHeight="1">
      <c r="C367" s="181"/>
      <c r="D367" s="181"/>
      <c r="E367" s="10"/>
      <c r="F367" s="182"/>
      <c r="J367" s="183"/>
      <c r="K367" s="184"/>
    </row>
    <row r="368" ht="22.5" customHeight="1">
      <c r="C368" s="181"/>
      <c r="D368" s="181"/>
      <c r="E368" s="10"/>
      <c r="F368" s="182"/>
      <c r="J368" s="183"/>
      <c r="K368" s="184"/>
    </row>
    <row r="369" ht="22.5" customHeight="1">
      <c r="C369" s="181"/>
      <c r="D369" s="181"/>
      <c r="E369" s="10"/>
      <c r="F369" s="182"/>
      <c r="J369" s="183"/>
      <c r="K369" s="184"/>
    </row>
    <row r="370" ht="22.5" customHeight="1">
      <c r="C370" s="181"/>
      <c r="D370" s="181"/>
      <c r="E370" s="10"/>
      <c r="F370" s="182"/>
      <c r="J370" s="183"/>
      <c r="K370" s="184"/>
    </row>
    <row r="371" ht="22.5" customHeight="1">
      <c r="C371" s="181"/>
      <c r="D371" s="181"/>
      <c r="E371" s="10"/>
      <c r="F371" s="182"/>
      <c r="J371" s="183"/>
      <c r="K371" s="184"/>
    </row>
    <row r="372" ht="22.5" customHeight="1">
      <c r="C372" s="181"/>
      <c r="D372" s="181"/>
      <c r="E372" s="10"/>
      <c r="F372" s="182"/>
      <c r="J372" s="183"/>
      <c r="K372" s="184"/>
    </row>
    <row r="373" ht="22.5" customHeight="1">
      <c r="C373" s="181"/>
      <c r="D373" s="181"/>
      <c r="E373" s="10"/>
      <c r="F373" s="182"/>
      <c r="J373" s="183"/>
      <c r="K373" s="184"/>
    </row>
    <row r="374" ht="22.5" customHeight="1">
      <c r="C374" s="181"/>
      <c r="D374" s="181"/>
      <c r="E374" s="10"/>
      <c r="F374" s="182"/>
      <c r="J374" s="183"/>
      <c r="K374" s="184"/>
    </row>
    <row r="375" ht="22.5" customHeight="1">
      <c r="C375" s="181"/>
      <c r="D375" s="181"/>
      <c r="E375" s="10"/>
      <c r="F375" s="182"/>
      <c r="J375" s="183"/>
      <c r="K375" s="184"/>
    </row>
    <row r="376" ht="22.5" customHeight="1">
      <c r="C376" s="181"/>
      <c r="D376" s="181"/>
      <c r="E376" s="10"/>
      <c r="F376" s="182"/>
      <c r="J376" s="183"/>
      <c r="K376" s="184"/>
    </row>
    <row r="377" ht="22.5" customHeight="1">
      <c r="C377" s="181"/>
      <c r="D377" s="181"/>
      <c r="E377" s="10"/>
      <c r="F377" s="182"/>
      <c r="J377" s="183"/>
      <c r="K377" s="184"/>
    </row>
    <row r="378" ht="22.5" customHeight="1">
      <c r="C378" s="181"/>
      <c r="D378" s="181"/>
      <c r="E378" s="10"/>
      <c r="F378" s="182"/>
      <c r="J378" s="183"/>
      <c r="K378" s="184"/>
    </row>
    <row r="379" ht="22.5" customHeight="1">
      <c r="C379" s="181"/>
      <c r="D379" s="181"/>
      <c r="E379" s="10"/>
      <c r="F379" s="182"/>
      <c r="J379" s="183"/>
      <c r="K379" s="184"/>
    </row>
    <row r="380" ht="22.5" customHeight="1">
      <c r="C380" s="181"/>
      <c r="D380" s="181"/>
      <c r="E380" s="10"/>
      <c r="F380" s="182"/>
      <c r="J380" s="183"/>
      <c r="K380" s="184"/>
    </row>
    <row r="381" ht="22.5" customHeight="1">
      <c r="C381" s="181"/>
      <c r="D381" s="181"/>
      <c r="E381" s="10"/>
      <c r="F381" s="182"/>
      <c r="J381" s="183"/>
      <c r="K381" s="184"/>
    </row>
    <row r="382" ht="22.5" customHeight="1">
      <c r="C382" s="181"/>
      <c r="D382" s="181"/>
      <c r="E382" s="10"/>
      <c r="F382" s="182"/>
      <c r="J382" s="183"/>
      <c r="K382" s="184"/>
    </row>
    <row r="383" ht="22.5" customHeight="1">
      <c r="C383" s="181"/>
      <c r="D383" s="181"/>
      <c r="E383" s="10"/>
      <c r="F383" s="182"/>
      <c r="J383" s="183"/>
      <c r="K383" s="184"/>
    </row>
    <row r="384" ht="22.5" customHeight="1">
      <c r="C384" s="181"/>
      <c r="D384" s="181"/>
      <c r="E384" s="10"/>
      <c r="F384" s="182"/>
      <c r="J384" s="183"/>
      <c r="K384" s="184"/>
    </row>
    <row r="385" ht="22.5" customHeight="1">
      <c r="C385" s="181"/>
      <c r="D385" s="181"/>
      <c r="E385" s="10"/>
      <c r="F385" s="182"/>
      <c r="J385" s="183"/>
      <c r="K385" s="184"/>
    </row>
    <row r="386" ht="22.5" customHeight="1">
      <c r="C386" s="181"/>
      <c r="D386" s="181"/>
      <c r="E386" s="10"/>
      <c r="F386" s="182"/>
      <c r="J386" s="183"/>
      <c r="K386" s="184"/>
    </row>
    <row r="387" ht="22.5" customHeight="1">
      <c r="C387" s="181"/>
      <c r="D387" s="181"/>
      <c r="E387" s="10"/>
      <c r="F387" s="182"/>
      <c r="J387" s="183"/>
      <c r="K387" s="184"/>
    </row>
    <row r="388" ht="22.5" customHeight="1">
      <c r="C388" s="181"/>
      <c r="D388" s="181"/>
      <c r="E388" s="10"/>
      <c r="F388" s="182"/>
      <c r="J388" s="183"/>
      <c r="K388" s="184"/>
    </row>
    <row r="389" ht="22.5" customHeight="1">
      <c r="C389" s="181"/>
      <c r="D389" s="181"/>
      <c r="E389" s="10"/>
      <c r="F389" s="182"/>
      <c r="J389" s="183"/>
      <c r="K389" s="184"/>
    </row>
    <row r="390" ht="22.5" customHeight="1">
      <c r="C390" s="181"/>
      <c r="D390" s="181"/>
      <c r="E390" s="10"/>
      <c r="F390" s="182"/>
      <c r="J390" s="183"/>
      <c r="K390" s="184"/>
    </row>
    <row r="391" ht="22.5" customHeight="1">
      <c r="C391" s="181"/>
      <c r="D391" s="181"/>
      <c r="E391" s="10"/>
      <c r="F391" s="182"/>
      <c r="J391" s="183"/>
      <c r="K391" s="184"/>
    </row>
    <row r="392" ht="22.5" customHeight="1">
      <c r="C392" s="181"/>
      <c r="D392" s="181"/>
      <c r="E392" s="10"/>
      <c r="F392" s="182"/>
      <c r="J392" s="183"/>
      <c r="K392" s="184"/>
    </row>
    <row r="393" ht="22.5" customHeight="1">
      <c r="C393" s="181"/>
      <c r="D393" s="181"/>
      <c r="E393" s="10"/>
      <c r="F393" s="182"/>
      <c r="J393" s="183"/>
      <c r="K393" s="184"/>
    </row>
    <row r="394" ht="22.5" customHeight="1">
      <c r="C394" s="181"/>
      <c r="D394" s="181"/>
      <c r="E394" s="10"/>
      <c r="F394" s="182"/>
      <c r="J394" s="183"/>
      <c r="K394" s="184"/>
    </row>
    <row r="395" ht="22.5" customHeight="1">
      <c r="C395" s="181"/>
      <c r="D395" s="181"/>
      <c r="E395" s="10"/>
      <c r="F395" s="182"/>
      <c r="J395" s="183"/>
      <c r="K395" s="184"/>
    </row>
    <row r="396" ht="22.5" customHeight="1">
      <c r="C396" s="181"/>
      <c r="D396" s="181"/>
      <c r="E396" s="10"/>
      <c r="F396" s="182"/>
      <c r="J396" s="183"/>
      <c r="K396" s="184"/>
    </row>
    <row r="397" ht="22.5" customHeight="1">
      <c r="C397" s="181"/>
      <c r="D397" s="181"/>
      <c r="E397" s="10"/>
      <c r="F397" s="182"/>
      <c r="J397" s="183"/>
      <c r="K397" s="184"/>
    </row>
    <row r="398" ht="22.5" customHeight="1">
      <c r="C398" s="181"/>
      <c r="D398" s="181"/>
      <c r="E398" s="10"/>
      <c r="F398" s="182"/>
      <c r="J398" s="183"/>
      <c r="K398" s="184"/>
    </row>
    <row r="399" ht="22.5" customHeight="1">
      <c r="C399" s="181"/>
      <c r="D399" s="181"/>
      <c r="E399" s="10"/>
      <c r="F399" s="182"/>
      <c r="J399" s="183"/>
      <c r="K399" s="184"/>
    </row>
    <row r="400" ht="22.5" customHeight="1">
      <c r="C400" s="181"/>
      <c r="D400" s="181"/>
      <c r="E400" s="10"/>
      <c r="F400" s="182"/>
      <c r="J400" s="183"/>
      <c r="K400" s="184"/>
    </row>
    <row r="401" ht="22.5" customHeight="1">
      <c r="C401" s="181"/>
      <c r="D401" s="181"/>
      <c r="E401" s="10"/>
      <c r="F401" s="182"/>
      <c r="J401" s="183"/>
      <c r="K401" s="184"/>
    </row>
    <row r="402" ht="22.5" customHeight="1">
      <c r="C402" s="181"/>
      <c r="D402" s="181"/>
      <c r="E402" s="10"/>
      <c r="F402" s="182"/>
      <c r="J402" s="183"/>
      <c r="K402" s="184"/>
    </row>
    <row r="403" ht="22.5" customHeight="1">
      <c r="C403" s="181"/>
      <c r="D403" s="181"/>
      <c r="E403" s="10"/>
      <c r="F403" s="182"/>
      <c r="J403" s="183"/>
      <c r="K403" s="184"/>
    </row>
    <row r="404" ht="22.5" customHeight="1">
      <c r="C404" s="181"/>
      <c r="D404" s="181"/>
      <c r="E404" s="10"/>
      <c r="F404" s="182"/>
      <c r="J404" s="183"/>
      <c r="K404" s="184"/>
    </row>
    <row r="405" ht="22.5" customHeight="1">
      <c r="C405" s="181"/>
      <c r="D405" s="181"/>
      <c r="E405" s="10"/>
      <c r="F405" s="182"/>
      <c r="J405" s="183"/>
      <c r="K405" s="184"/>
    </row>
    <row r="406" ht="22.5" customHeight="1">
      <c r="C406" s="181"/>
      <c r="D406" s="181"/>
      <c r="E406" s="10"/>
      <c r="F406" s="182"/>
      <c r="J406" s="183"/>
      <c r="K406" s="184"/>
    </row>
    <row r="407" ht="22.5" customHeight="1">
      <c r="C407" s="181"/>
      <c r="D407" s="181"/>
      <c r="E407" s="10"/>
      <c r="F407" s="182"/>
      <c r="J407" s="183"/>
      <c r="K407" s="184"/>
    </row>
    <row r="408" ht="22.5" customHeight="1">
      <c r="C408" s="181"/>
      <c r="D408" s="181"/>
      <c r="E408" s="10"/>
      <c r="F408" s="182"/>
      <c r="J408" s="183"/>
      <c r="K408" s="184"/>
    </row>
    <row r="409" ht="22.5" customHeight="1">
      <c r="C409" s="181"/>
      <c r="D409" s="181"/>
      <c r="E409" s="10"/>
      <c r="F409" s="182"/>
      <c r="J409" s="183"/>
      <c r="K409" s="184"/>
    </row>
    <row r="410" ht="22.5" customHeight="1">
      <c r="C410" s="181"/>
      <c r="D410" s="181"/>
      <c r="E410" s="10"/>
      <c r="F410" s="182"/>
      <c r="J410" s="183"/>
      <c r="K410" s="184"/>
    </row>
    <row r="411" ht="22.5" customHeight="1">
      <c r="C411" s="181"/>
      <c r="D411" s="181"/>
      <c r="E411" s="10"/>
      <c r="F411" s="182"/>
      <c r="J411" s="183"/>
      <c r="K411" s="184"/>
    </row>
    <row r="412" ht="22.5" customHeight="1">
      <c r="C412" s="181"/>
      <c r="D412" s="181"/>
      <c r="E412" s="10"/>
      <c r="F412" s="182"/>
      <c r="J412" s="183"/>
      <c r="K412" s="184"/>
    </row>
    <row r="413" ht="22.5" customHeight="1">
      <c r="C413" s="181"/>
      <c r="D413" s="181"/>
      <c r="E413" s="10"/>
      <c r="F413" s="182"/>
      <c r="J413" s="183"/>
      <c r="K413" s="184"/>
    </row>
    <row r="414" ht="22.5" customHeight="1">
      <c r="C414" s="181"/>
      <c r="D414" s="181"/>
      <c r="E414" s="10"/>
      <c r="F414" s="182"/>
      <c r="J414" s="183"/>
      <c r="K414" s="184"/>
    </row>
    <row r="415" ht="22.5" customHeight="1">
      <c r="C415" s="181"/>
      <c r="D415" s="181"/>
      <c r="E415" s="10"/>
      <c r="F415" s="182"/>
      <c r="J415" s="183"/>
      <c r="K415" s="184"/>
    </row>
    <row r="416" ht="22.5" customHeight="1">
      <c r="C416" s="181"/>
      <c r="D416" s="181"/>
      <c r="E416" s="10"/>
      <c r="F416" s="182"/>
      <c r="J416" s="183"/>
      <c r="K416" s="184"/>
    </row>
    <row r="417" ht="22.5" customHeight="1">
      <c r="C417" s="181"/>
      <c r="D417" s="181"/>
      <c r="E417" s="10"/>
      <c r="F417" s="182"/>
      <c r="J417" s="183"/>
      <c r="K417" s="184"/>
    </row>
    <row r="418" ht="22.5" customHeight="1">
      <c r="C418" s="181"/>
      <c r="D418" s="181"/>
      <c r="E418" s="10"/>
      <c r="F418" s="182"/>
      <c r="J418" s="183"/>
      <c r="K418" s="184"/>
    </row>
    <row r="419" ht="22.5" customHeight="1">
      <c r="C419" s="181"/>
      <c r="D419" s="181"/>
      <c r="E419" s="10"/>
      <c r="F419" s="182"/>
      <c r="J419" s="183"/>
      <c r="K419" s="184"/>
    </row>
    <row r="420" ht="22.5" customHeight="1">
      <c r="C420" s="181"/>
      <c r="D420" s="181"/>
      <c r="E420" s="10"/>
      <c r="F420" s="182"/>
      <c r="J420" s="183"/>
      <c r="K420" s="184"/>
    </row>
    <row r="421" ht="22.5" customHeight="1">
      <c r="C421" s="181"/>
      <c r="D421" s="181"/>
      <c r="E421" s="10"/>
      <c r="F421" s="182"/>
      <c r="J421" s="183"/>
      <c r="K421" s="184"/>
    </row>
    <row r="422" ht="22.5" customHeight="1">
      <c r="C422" s="181"/>
      <c r="D422" s="181"/>
      <c r="E422" s="10"/>
      <c r="F422" s="182"/>
      <c r="J422" s="183"/>
      <c r="K422" s="184"/>
    </row>
    <row r="423" ht="22.5" customHeight="1">
      <c r="C423" s="181"/>
      <c r="D423" s="181"/>
      <c r="E423" s="10"/>
      <c r="F423" s="182"/>
      <c r="J423" s="183"/>
      <c r="K423" s="184"/>
    </row>
    <row r="424" ht="22.5" customHeight="1">
      <c r="C424" s="181"/>
      <c r="D424" s="181"/>
      <c r="E424" s="10"/>
      <c r="F424" s="182"/>
      <c r="J424" s="183"/>
      <c r="K424" s="184"/>
    </row>
    <row r="425" ht="22.5" customHeight="1">
      <c r="C425" s="181"/>
      <c r="D425" s="181"/>
      <c r="E425" s="10"/>
      <c r="F425" s="182"/>
      <c r="J425" s="183"/>
      <c r="K425" s="184"/>
    </row>
    <row r="426" ht="22.5" customHeight="1">
      <c r="C426" s="181"/>
      <c r="D426" s="181"/>
      <c r="E426" s="10"/>
      <c r="F426" s="182"/>
      <c r="J426" s="183"/>
      <c r="K426" s="184"/>
    </row>
    <row r="427" ht="22.5" customHeight="1">
      <c r="C427" s="181"/>
      <c r="D427" s="181"/>
      <c r="E427" s="10"/>
      <c r="F427" s="182"/>
      <c r="J427" s="183"/>
      <c r="K427" s="184"/>
    </row>
    <row r="428" ht="22.5" customHeight="1">
      <c r="C428" s="181"/>
      <c r="D428" s="181"/>
      <c r="E428" s="10"/>
      <c r="F428" s="182"/>
      <c r="J428" s="183"/>
      <c r="K428" s="184"/>
    </row>
    <row r="429" ht="22.5" customHeight="1">
      <c r="C429" s="181"/>
      <c r="D429" s="181"/>
      <c r="E429" s="10"/>
      <c r="F429" s="182"/>
      <c r="J429" s="183"/>
      <c r="K429" s="184"/>
    </row>
    <row r="430" ht="22.5" customHeight="1">
      <c r="C430" s="181"/>
      <c r="D430" s="181"/>
      <c r="E430" s="10"/>
      <c r="F430" s="182"/>
      <c r="J430" s="183"/>
      <c r="K430" s="184"/>
    </row>
    <row r="431" ht="22.5" customHeight="1">
      <c r="C431" s="181"/>
      <c r="D431" s="181"/>
      <c r="E431" s="10"/>
      <c r="F431" s="182"/>
      <c r="J431" s="183"/>
      <c r="K431" s="184"/>
    </row>
    <row r="432" ht="22.5" customHeight="1">
      <c r="C432" s="181"/>
      <c r="D432" s="181"/>
      <c r="E432" s="10"/>
      <c r="F432" s="182"/>
      <c r="J432" s="183"/>
      <c r="K432" s="184"/>
    </row>
    <row r="433" ht="22.5" customHeight="1">
      <c r="C433" s="181"/>
      <c r="D433" s="181"/>
      <c r="E433" s="10"/>
      <c r="F433" s="182"/>
      <c r="J433" s="183"/>
      <c r="K433" s="184"/>
    </row>
    <row r="434" ht="22.5" customHeight="1">
      <c r="C434" s="181"/>
      <c r="D434" s="181"/>
      <c r="E434" s="10"/>
      <c r="F434" s="182"/>
      <c r="J434" s="183"/>
      <c r="K434" s="184"/>
    </row>
    <row r="435" ht="22.5" customHeight="1">
      <c r="C435" s="181"/>
      <c r="D435" s="181"/>
      <c r="E435" s="10"/>
      <c r="F435" s="182"/>
      <c r="J435" s="183"/>
      <c r="K435" s="184"/>
    </row>
    <row r="436" ht="22.5" customHeight="1">
      <c r="C436" s="181"/>
      <c r="D436" s="181"/>
      <c r="E436" s="10"/>
      <c r="F436" s="182"/>
      <c r="J436" s="183"/>
      <c r="K436" s="184"/>
    </row>
    <row r="437" ht="22.5" customHeight="1">
      <c r="C437" s="181"/>
      <c r="D437" s="181"/>
      <c r="E437" s="10"/>
      <c r="F437" s="182"/>
      <c r="J437" s="183"/>
      <c r="K437" s="184"/>
    </row>
    <row r="438" ht="22.5" customHeight="1">
      <c r="C438" s="181"/>
      <c r="D438" s="181"/>
      <c r="E438" s="10"/>
      <c r="F438" s="182"/>
      <c r="J438" s="183"/>
      <c r="K438" s="184"/>
    </row>
    <row r="439" ht="22.5" customHeight="1">
      <c r="C439" s="181"/>
      <c r="D439" s="181"/>
      <c r="E439" s="10"/>
      <c r="F439" s="182"/>
      <c r="J439" s="183"/>
      <c r="K439" s="184"/>
    </row>
    <row r="440" ht="22.5" customHeight="1">
      <c r="C440" s="181"/>
      <c r="D440" s="181"/>
      <c r="E440" s="10"/>
      <c r="F440" s="182"/>
      <c r="J440" s="183"/>
      <c r="K440" s="184"/>
    </row>
    <row r="441" ht="22.5" customHeight="1">
      <c r="C441" s="181"/>
      <c r="D441" s="181"/>
      <c r="E441" s="10"/>
      <c r="F441" s="182"/>
      <c r="J441" s="183"/>
      <c r="K441" s="184"/>
    </row>
    <row r="442" ht="22.5" customHeight="1">
      <c r="C442" s="181"/>
      <c r="D442" s="181"/>
      <c r="E442" s="10"/>
      <c r="F442" s="182"/>
      <c r="J442" s="183"/>
      <c r="K442" s="184"/>
    </row>
    <row r="443" ht="22.5" customHeight="1">
      <c r="C443" s="181"/>
      <c r="D443" s="181"/>
      <c r="E443" s="10"/>
      <c r="F443" s="182"/>
      <c r="J443" s="183"/>
      <c r="K443" s="184"/>
    </row>
    <row r="444" ht="22.5" customHeight="1">
      <c r="C444" s="181"/>
      <c r="D444" s="181"/>
      <c r="E444" s="10"/>
      <c r="F444" s="182"/>
      <c r="J444" s="183"/>
      <c r="K444" s="184"/>
    </row>
    <row r="445" ht="22.5" customHeight="1">
      <c r="C445" s="181"/>
      <c r="D445" s="181"/>
      <c r="E445" s="10"/>
      <c r="F445" s="182"/>
      <c r="J445" s="183"/>
      <c r="K445" s="184"/>
    </row>
    <row r="446" ht="22.5" customHeight="1">
      <c r="C446" s="181"/>
      <c r="D446" s="181"/>
      <c r="E446" s="10"/>
      <c r="F446" s="182"/>
      <c r="J446" s="183"/>
      <c r="K446" s="184"/>
    </row>
    <row r="447" ht="22.5" customHeight="1">
      <c r="C447" s="181"/>
      <c r="D447" s="181"/>
      <c r="E447" s="10"/>
      <c r="F447" s="182"/>
      <c r="J447" s="183"/>
      <c r="K447" s="184"/>
    </row>
    <row r="448" ht="22.5" customHeight="1">
      <c r="C448" s="181"/>
      <c r="D448" s="181"/>
      <c r="E448" s="10"/>
      <c r="F448" s="182"/>
      <c r="J448" s="183"/>
      <c r="K448" s="184"/>
    </row>
    <row r="449" ht="22.5" customHeight="1">
      <c r="C449" s="181"/>
      <c r="D449" s="181"/>
      <c r="E449" s="10"/>
      <c r="F449" s="182"/>
      <c r="J449" s="183"/>
      <c r="K449" s="184"/>
    </row>
    <row r="450" ht="22.5" customHeight="1">
      <c r="C450" s="181"/>
      <c r="D450" s="181"/>
      <c r="E450" s="10"/>
      <c r="F450" s="182"/>
      <c r="J450" s="183"/>
      <c r="K450" s="184"/>
    </row>
    <row r="451" ht="22.5" customHeight="1">
      <c r="C451" s="181"/>
      <c r="D451" s="181"/>
      <c r="E451" s="10"/>
      <c r="F451" s="182"/>
      <c r="J451" s="183"/>
      <c r="K451" s="184"/>
    </row>
    <row r="452" ht="22.5" customHeight="1">
      <c r="C452" s="181"/>
      <c r="D452" s="181"/>
      <c r="E452" s="10"/>
      <c r="F452" s="182"/>
      <c r="J452" s="183"/>
      <c r="K452" s="184"/>
    </row>
    <row r="453" ht="22.5" customHeight="1">
      <c r="C453" s="181"/>
      <c r="D453" s="181"/>
      <c r="E453" s="10"/>
      <c r="F453" s="182"/>
      <c r="J453" s="183"/>
      <c r="K453" s="184"/>
    </row>
    <row r="454" ht="22.5" customHeight="1">
      <c r="C454" s="181"/>
      <c r="D454" s="181"/>
      <c r="E454" s="10"/>
      <c r="F454" s="182"/>
      <c r="J454" s="183"/>
      <c r="K454" s="184"/>
    </row>
    <row r="455" ht="22.5" customHeight="1">
      <c r="C455" s="181"/>
      <c r="D455" s="181"/>
      <c r="E455" s="10"/>
      <c r="F455" s="182"/>
      <c r="J455" s="183"/>
      <c r="K455" s="184"/>
    </row>
    <row r="456" ht="22.5" customHeight="1">
      <c r="C456" s="181"/>
      <c r="D456" s="181"/>
      <c r="E456" s="10"/>
      <c r="F456" s="182"/>
      <c r="J456" s="183"/>
      <c r="K456" s="184"/>
    </row>
    <row r="457" ht="22.5" customHeight="1">
      <c r="C457" s="181"/>
      <c r="D457" s="181"/>
      <c r="E457" s="10"/>
      <c r="F457" s="182"/>
      <c r="J457" s="183"/>
      <c r="K457" s="184"/>
    </row>
    <row r="458" ht="22.5" customHeight="1">
      <c r="C458" s="181"/>
      <c r="D458" s="181"/>
      <c r="E458" s="10"/>
      <c r="F458" s="182"/>
      <c r="J458" s="183"/>
      <c r="K458" s="184"/>
    </row>
    <row r="459" ht="22.5" customHeight="1">
      <c r="C459" s="181"/>
      <c r="D459" s="181"/>
      <c r="E459" s="10"/>
      <c r="F459" s="182"/>
      <c r="J459" s="183"/>
      <c r="K459" s="184"/>
    </row>
    <row r="460" ht="22.5" customHeight="1">
      <c r="C460" s="181"/>
      <c r="D460" s="181"/>
      <c r="E460" s="10"/>
      <c r="F460" s="182"/>
      <c r="J460" s="183"/>
      <c r="K460" s="184"/>
    </row>
    <row r="461" ht="22.5" customHeight="1">
      <c r="C461" s="181"/>
      <c r="D461" s="181"/>
      <c r="E461" s="10"/>
      <c r="F461" s="182"/>
      <c r="J461" s="183"/>
      <c r="K461" s="184"/>
    </row>
    <row r="462" ht="22.5" customHeight="1">
      <c r="C462" s="181"/>
      <c r="D462" s="181"/>
      <c r="E462" s="10"/>
      <c r="F462" s="182"/>
      <c r="J462" s="183"/>
      <c r="K462" s="184"/>
    </row>
    <row r="463" ht="22.5" customHeight="1">
      <c r="C463" s="181"/>
      <c r="D463" s="181"/>
      <c r="E463" s="10"/>
      <c r="F463" s="182"/>
      <c r="J463" s="183"/>
      <c r="K463" s="184"/>
    </row>
    <row r="464" ht="22.5" customHeight="1">
      <c r="C464" s="181"/>
      <c r="D464" s="181"/>
      <c r="E464" s="10"/>
      <c r="F464" s="182"/>
      <c r="J464" s="183"/>
      <c r="K464" s="184"/>
    </row>
    <row r="465" ht="22.5" customHeight="1">
      <c r="C465" s="181"/>
      <c r="D465" s="181"/>
      <c r="E465" s="10"/>
      <c r="F465" s="182"/>
      <c r="J465" s="183"/>
      <c r="K465" s="184"/>
    </row>
    <row r="466" ht="22.5" customHeight="1">
      <c r="C466" s="181"/>
      <c r="D466" s="181"/>
      <c r="E466" s="10"/>
      <c r="F466" s="182"/>
      <c r="J466" s="183"/>
      <c r="K466" s="184"/>
    </row>
    <row r="467" ht="22.5" customHeight="1">
      <c r="C467" s="181"/>
      <c r="D467" s="181"/>
      <c r="E467" s="10"/>
      <c r="F467" s="182"/>
      <c r="J467" s="183"/>
      <c r="K467" s="184"/>
    </row>
    <row r="468" ht="22.5" customHeight="1">
      <c r="C468" s="181"/>
      <c r="D468" s="181"/>
      <c r="E468" s="10"/>
      <c r="F468" s="182"/>
      <c r="J468" s="183"/>
      <c r="K468" s="184"/>
    </row>
    <row r="469" ht="22.5" customHeight="1">
      <c r="C469" s="181"/>
      <c r="D469" s="181"/>
      <c r="E469" s="10"/>
      <c r="F469" s="182"/>
      <c r="J469" s="183"/>
      <c r="K469" s="184"/>
    </row>
    <row r="470" ht="22.5" customHeight="1">
      <c r="C470" s="181"/>
      <c r="D470" s="181"/>
      <c r="E470" s="10"/>
      <c r="F470" s="182"/>
      <c r="J470" s="183"/>
      <c r="K470" s="184"/>
    </row>
    <row r="471" ht="22.5" customHeight="1">
      <c r="C471" s="181"/>
      <c r="D471" s="181"/>
      <c r="E471" s="10"/>
      <c r="F471" s="182"/>
      <c r="J471" s="183"/>
      <c r="K471" s="184"/>
    </row>
    <row r="472" ht="22.5" customHeight="1">
      <c r="C472" s="181"/>
      <c r="D472" s="181"/>
      <c r="E472" s="10"/>
      <c r="F472" s="182"/>
      <c r="J472" s="183"/>
      <c r="K472" s="184"/>
    </row>
    <row r="473" ht="22.5" customHeight="1">
      <c r="C473" s="181"/>
      <c r="D473" s="181"/>
      <c r="E473" s="10"/>
      <c r="F473" s="182"/>
      <c r="J473" s="183"/>
      <c r="K473" s="184"/>
    </row>
    <row r="474" ht="22.5" customHeight="1">
      <c r="C474" s="181"/>
      <c r="D474" s="181"/>
      <c r="E474" s="10"/>
      <c r="F474" s="182"/>
      <c r="J474" s="183"/>
      <c r="K474" s="184"/>
    </row>
    <row r="475" ht="22.5" customHeight="1">
      <c r="C475" s="181"/>
      <c r="D475" s="181"/>
      <c r="E475" s="10"/>
      <c r="F475" s="182"/>
      <c r="J475" s="183"/>
      <c r="K475" s="184"/>
    </row>
    <row r="476" ht="22.5" customHeight="1">
      <c r="C476" s="181"/>
      <c r="D476" s="181"/>
      <c r="E476" s="10"/>
      <c r="F476" s="182"/>
      <c r="J476" s="183"/>
      <c r="K476" s="184"/>
    </row>
    <row r="477" ht="22.5" customHeight="1">
      <c r="C477" s="181"/>
      <c r="D477" s="181"/>
      <c r="E477" s="10"/>
      <c r="F477" s="182"/>
      <c r="J477" s="183"/>
      <c r="K477" s="184"/>
    </row>
    <row r="478" ht="22.5" customHeight="1">
      <c r="C478" s="181"/>
      <c r="D478" s="181"/>
      <c r="E478" s="10"/>
      <c r="F478" s="182"/>
      <c r="J478" s="183"/>
      <c r="K478" s="184"/>
    </row>
    <row r="479" ht="22.5" customHeight="1">
      <c r="C479" s="181"/>
      <c r="D479" s="181"/>
      <c r="E479" s="10"/>
      <c r="F479" s="182"/>
      <c r="J479" s="183"/>
      <c r="K479" s="184"/>
    </row>
    <row r="480" ht="22.5" customHeight="1">
      <c r="C480" s="181"/>
      <c r="D480" s="181"/>
      <c r="E480" s="10"/>
      <c r="F480" s="182"/>
      <c r="J480" s="183"/>
      <c r="K480" s="184"/>
    </row>
    <row r="481" ht="22.5" customHeight="1">
      <c r="C481" s="181"/>
      <c r="D481" s="181"/>
      <c r="E481" s="10"/>
      <c r="F481" s="182"/>
      <c r="J481" s="183"/>
      <c r="K481" s="184"/>
    </row>
    <row r="482" ht="22.5" customHeight="1">
      <c r="C482" s="181"/>
      <c r="D482" s="181"/>
      <c r="E482" s="10"/>
      <c r="F482" s="182"/>
      <c r="J482" s="183"/>
      <c r="K482" s="184"/>
    </row>
    <row r="483" ht="22.5" customHeight="1">
      <c r="C483" s="181"/>
      <c r="D483" s="181"/>
      <c r="E483" s="10"/>
      <c r="F483" s="182"/>
      <c r="J483" s="183"/>
      <c r="K483" s="184"/>
    </row>
    <row r="484" ht="22.5" customHeight="1">
      <c r="C484" s="181"/>
      <c r="D484" s="181"/>
      <c r="E484" s="10"/>
      <c r="F484" s="182"/>
      <c r="J484" s="183"/>
      <c r="K484" s="184"/>
    </row>
    <row r="485" ht="22.5" customHeight="1">
      <c r="C485" s="181"/>
      <c r="D485" s="181"/>
      <c r="E485" s="10"/>
      <c r="F485" s="182"/>
      <c r="J485" s="183"/>
      <c r="K485" s="184"/>
    </row>
    <row r="486" ht="22.5" customHeight="1">
      <c r="C486" s="181"/>
      <c r="D486" s="181"/>
      <c r="E486" s="10"/>
      <c r="F486" s="182"/>
      <c r="J486" s="183"/>
      <c r="K486" s="184"/>
    </row>
    <row r="487" ht="22.5" customHeight="1">
      <c r="C487" s="181"/>
      <c r="D487" s="181"/>
      <c r="E487" s="10"/>
      <c r="F487" s="182"/>
      <c r="J487" s="183"/>
      <c r="K487" s="184"/>
    </row>
    <row r="488" ht="22.5" customHeight="1">
      <c r="C488" s="181"/>
      <c r="D488" s="181"/>
      <c r="E488" s="10"/>
      <c r="F488" s="182"/>
      <c r="J488" s="183"/>
      <c r="K488" s="184"/>
    </row>
    <row r="489" ht="22.5" customHeight="1">
      <c r="C489" s="181"/>
      <c r="D489" s="181"/>
      <c r="E489" s="10"/>
      <c r="F489" s="182"/>
      <c r="J489" s="183"/>
      <c r="K489" s="184"/>
    </row>
    <row r="490" ht="22.5" customHeight="1">
      <c r="C490" s="181"/>
      <c r="D490" s="181"/>
      <c r="E490" s="10"/>
      <c r="F490" s="182"/>
      <c r="J490" s="183"/>
      <c r="K490" s="184"/>
    </row>
    <row r="491" ht="22.5" customHeight="1">
      <c r="C491" s="181"/>
      <c r="D491" s="181"/>
      <c r="E491" s="10"/>
      <c r="F491" s="182"/>
      <c r="J491" s="183"/>
      <c r="K491" s="184"/>
    </row>
    <row r="492" ht="22.5" customHeight="1">
      <c r="C492" s="181"/>
      <c r="D492" s="181"/>
      <c r="E492" s="10"/>
      <c r="F492" s="182"/>
      <c r="J492" s="183"/>
      <c r="K492" s="184"/>
    </row>
    <row r="493" ht="22.5" customHeight="1">
      <c r="C493" s="181"/>
      <c r="D493" s="181"/>
      <c r="E493" s="10"/>
      <c r="F493" s="182"/>
      <c r="J493" s="183"/>
      <c r="K493" s="184"/>
    </row>
    <row r="494" ht="22.5" customHeight="1">
      <c r="C494" s="181"/>
      <c r="D494" s="181"/>
      <c r="E494" s="10"/>
      <c r="F494" s="182"/>
      <c r="J494" s="183"/>
      <c r="K494" s="184"/>
    </row>
    <row r="495" ht="22.5" customHeight="1">
      <c r="C495" s="181"/>
      <c r="D495" s="181"/>
      <c r="E495" s="10"/>
      <c r="F495" s="182"/>
      <c r="J495" s="183"/>
      <c r="K495" s="184"/>
    </row>
    <row r="496" ht="22.5" customHeight="1">
      <c r="C496" s="181"/>
      <c r="D496" s="181"/>
      <c r="E496" s="10"/>
      <c r="F496" s="182"/>
      <c r="J496" s="183"/>
      <c r="K496" s="184"/>
    </row>
    <row r="497" ht="22.5" customHeight="1">
      <c r="C497" s="181"/>
      <c r="D497" s="181"/>
      <c r="E497" s="10"/>
      <c r="F497" s="182"/>
      <c r="J497" s="183"/>
      <c r="K497" s="184"/>
    </row>
    <row r="498" ht="22.5" customHeight="1">
      <c r="C498" s="181"/>
      <c r="D498" s="181"/>
      <c r="E498" s="10"/>
      <c r="F498" s="182"/>
      <c r="J498" s="183"/>
      <c r="K498" s="184"/>
    </row>
    <row r="499" ht="22.5" customHeight="1">
      <c r="C499" s="181"/>
      <c r="D499" s="181"/>
      <c r="E499" s="10"/>
      <c r="F499" s="182"/>
      <c r="J499" s="183"/>
      <c r="K499" s="184"/>
    </row>
    <row r="500" ht="22.5" customHeight="1">
      <c r="C500" s="181"/>
      <c r="D500" s="181"/>
      <c r="E500" s="10"/>
      <c r="F500" s="182"/>
      <c r="J500" s="183"/>
      <c r="K500" s="184"/>
    </row>
    <row r="501" ht="22.5" customHeight="1">
      <c r="C501" s="181"/>
      <c r="D501" s="181"/>
      <c r="E501" s="10"/>
      <c r="F501" s="182"/>
      <c r="J501" s="183"/>
      <c r="K501" s="184"/>
    </row>
    <row r="502" ht="22.5" customHeight="1">
      <c r="C502" s="181"/>
      <c r="D502" s="181"/>
      <c r="E502" s="10"/>
      <c r="F502" s="182"/>
      <c r="J502" s="183"/>
      <c r="K502" s="184"/>
    </row>
    <row r="503" ht="22.5" customHeight="1">
      <c r="C503" s="181"/>
      <c r="D503" s="181"/>
      <c r="E503" s="10"/>
      <c r="F503" s="182"/>
      <c r="J503" s="183"/>
      <c r="K503" s="184"/>
    </row>
    <row r="504" ht="22.5" customHeight="1">
      <c r="C504" s="181"/>
      <c r="D504" s="181"/>
      <c r="E504" s="10"/>
      <c r="F504" s="182"/>
      <c r="J504" s="183"/>
      <c r="K504" s="184"/>
    </row>
    <row r="505" ht="22.5" customHeight="1">
      <c r="C505" s="181"/>
      <c r="D505" s="181"/>
      <c r="E505" s="10"/>
      <c r="F505" s="182"/>
      <c r="J505" s="183"/>
      <c r="K505" s="184"/>
    </row>
    <row r="506" ht="22.5" customHeight="1">
      <c r="C506" s="181"/>
      <c r="D506" s="181"/>
      <c r="E506" s="10"/>
      <c r="F506" s="182"/>
      <c r="J506" s="183"/>
      <c r="K506" s="184"/>
    </row>
    <row r="507" ht="22.5" customHeight="1">
      <c r="C507" s="181"/>
      <c r="D507" s="181"/>
      <c r="E507" s="10"/>
      <c r="F507" s="182"/>
      <c r="J507" s="183"/>
      <c r="K507" s="184"/>
    </row>
    <row r="508" ht="22.5" customHeight="1">
      <c r="C508" s="181"/>
      <c r="D508" s="181"/>
      <c r="E508" s="10"/>
      <c r="F508" s="182"/>
      <c r="J508" s="183"/>
      <c r="K508" s="184"/>
    </row>
    <row r="509" ht="22.5" customHeight="1">
      <c r="C509" s="181"/>
      <c r="D509" s="181"/>
      <c r="E509" s="10"/>
      <c r="F509" s="182"/>
      <c r="J509" s="183"/>
      <c r="K509" s="184"/>
    </row>
    <row r="510" ht="22.5" customHeight="1">
      <c r="C510" s="181"/>
      <c r="D510" s="181"/>
      <c r="E510" s="10"/>
      <c r="F510" s="182"/>
      <c r="J510" s="183"/>
      <c r="K510" s="184"/>
    </row>
    <row r="511" ht="22.5" customHeight="1">
      <c r="C511" s="181"/>
      <c r="D511" s="181"/>
      <c r="E511" s="10"/>
      <c r="F511" s="182"/>
      <c r="J511" s="183"/>
      <c r="K511" s="184"/>
    </row>
    <row r="512" ht="22.5" customHeight="1">
      <c r="C512" s="181"/>
      <c r="D512" s="181"/>
      <c r="E512" s="10"/>
      <c r="F512" s="182"/>
      <c r="J512" s="183"/>
      <c r="K512" s="184"/>
    </row>
    <row r="513" ht="22.5" customHeight="1">
      <c r="C513" s="181"/>
      <c r="D513" s="181"/>
      <c r="E513" s="10"/>
      <c r="F513" s="182"/>
      <c r="J513" s="183"/>
      <c r="K513" s="184"/>
    </row>
    <row r="514" ht="22.5" customHeight="1">
      <c r="C514" s="181"/>
      <c r="D514" s="181"/>
      <c r="E514" s="10"/>
      <c r="F514" s="182"/>
      <c r="J514" s="183"/>
      <c r="K514" s="184"/>
    </row>
    <row r="515" ht="22.5" customHeight="1">
      <c r="C515" s="181"/>
      <c r="D515" s="181"/>
      <c r="E515" s="10"/>
      <c r="F515" s="182"/>
      <c r="J515" s="183"/>
      <c r="K515" s="184"/>
    </row>
    <row r="516" ht="22.5" customHeight="1">
      <c r="C516" s="181"/>
      <c r="D516" s="181"/>
      <c r="E516" s="10"/>
      <c r="F516" s="182"/>
      <c r="J516" s="183"/>
      <c r="K516" s="184"/>
    </row>
    <row r="517" ht="22.5" customHeight="1">
      <c r="C517" s="181"/>
      <c r="D517" s="181"/>
      <c r="E517" s="10"/>
      <c r="F517" s="182"/>
      <c r="J517" s="183"/>
      <c r="K517" s="184"/>
    </row>
    <row r="518" ht="22.5" customHeight="1">
      <c r="C518" s="181"/>
      <c r="D518" s="181"/>
      <c r="E518" s="10"/>
      <c r="F518" s="182"/>
      <c r="J518" s="183"/>
      <c r="K518" s="184"/>
    </row>
    <row r="519" ht="22.5" customHeight="1">
      <c r="C519" s="181"/>
      <c r="D519" s="181"/>
      <c r="E519" s="10"/>
      <c r="F519" s="182"/>
      <c r="J519" s="183"/>
      <c r="K519" s="184"/>
    </row>
    <row r="520" ht="22.5" customHeight="1">
      <c r="C520" s="181"/>
      <c r="D520" s="181"/>
      <c r="E520" s="10"/>
      <c r="F520" s="182"/>
      <c r="J520" s="183"/>
      <c r="K520" s="184"/>
    </row>
    <row r="521" ht="22.5" customHeight="1">
      <c r="C521" s="181"/>
      <c r="D521" s="181"/>
      <c r="E521" s="10"/>
      <c r="F521" s="182"/>
      <c r="J521" s="183"/>
      <c r="K521" s="184"/>
    </row>
    <row r="522" ht="22.5" customHeight="1">
      <c r="C522" s="181"/>
      <c r="D522" s="181"/>
      <c r="E522" s="10"/>
      <c r="F522" s="182"/>
      <c r="J522" s="183"/>
      <c r="K522" s="184"/>
    </row>
    <row r="523" ht="22.5" customHeight="1">
      <c r="C523" s="181"/>
      <c r="D523" s="181"/>
      <c r="E523" s="10"/>
      <c r="F523" s="182"/>
      <c r="J523" s="183"/>
      <c r="K523" s="184"/>
    </row>
    <row r="524" ht="22.5" customHeight="1">
      <c r="C524" s="181"/>
      <c r="D524" s="181"/>
      <c r="E524" s="10"/>
      <c r="F524" s="182"/>
      <c r="J524" s="183"/>
      <c r="K524" s="184"/>
    </row>
    <row r="525" ht="22.5" customHeight="1">
      <c r="C525" s="181"/>
      <c r="D525" s="181"/>
      <c r="E525" s="10"/>
      <c r="F525" s="182"/>
      <c r="J525" s="183"/>
      <c r="K525" s="184"/>
    </row>
    <row r="526" ht="22.5" customHeight="1">
      <c r="C526" s="181"/>
      <c r="D526" s="181"/>
      <c r="E526" s="10"/>
      <c r="F526" s="182"/>
      <c r="J526" s="183"/>
      <c r="K526" s="184"/>
    </row>
    <row r="527" ht="22.5" customHeight="1">
      <c r="C527" s="181"/>
      <c r="D527" s="181"/>
      <c r="E527" s="10"/>
      <c r="F527" s="182"/>
      <c r="J527" s="183"/>
      <c r="K527" s="184"/>
    </row>
    <row r="528" ht="22.5" customHeight="1">
      <c r="C528" s="181"/>
      <c r="D528" s="181"/>
      <c r="E528" s="10"/>
      <c r="F528" s="182"/>
      <c r="J528" s="183"/>
      <c r="K528" s="184"/>
    </row>
    <row r="529" ht="22.5" customHeight="1">
      <c r="C529" s="181"/>
      <c r="D529" s="181"/>
      <c r="E529" s="10"/>
      <c r="F529" s="182"/>
      <c r="J529" s="183"/>
      <c r="K529" s="184"/>
    </row>
    <row r="530" ht="22.5" customHeight="1">
      <c r="C530" s="181"/>
      <c r="D530" s="181"/>
      <c r="E530" s="10"/>
      <c r="F530" s="182"/>
      <c r="J530" s="183"/>
      <c r="K530" s="184"/>
    </row>
    <row r="531" ht="22.5" customHeight="1">
      <c r="C531" s="181"/>
      <c r="D531" s="181"/>
      <c r="E531" s="10"/>
      <c r="F531" s="182"/>
      <c r="J531" s="183"/>
      <c r="K531" s="184"/>
    </row>
    <row r="532" ht="22.5" customHeight="1">
      <c r="C532" s="181"/>
      <c r="D532" s="181"/>
      <c r="E532" s="10"/>
      <c r="F532" s="182"/>
      <c r="J532" s="183"/>
      <c r="K532" s="184"/>
    </row>
    <row r="533" ht="22.5" customHeight="1">
      <c r="C533" s="181"/>
      <c r="D533" s="181"/>
      <c r="E533" s="10"/>
      <c r="F533" s="182"/>
      <c r="J533" s="183"/>
      <c r="K533" s="184"/>
    </row>
    <row r="534" ht="22.5" customHeight="1">
      <c r="C534" s="181"/>
      <c r="D534" s="181"/>
      <c r="E534" s="10"/>
      <c r="F534" s="182"/>
      <c r="J534" s="183"/>
      <c r="K534" s="184"/>
    </row>
    <row r="535" ht="22.5" customHeight="1">
      <c r="C535" s="181"/>
      <c r="D535" s="181"/>
      <c r="E535" s="10"/>
      <c r="F535" s="182"/>
      <c r="J535" s="183"/>
      <c r="K535" s="184"/>
    </row>
    <row r="536" ht="22.5" customHeight="1">
      <c r="C536" s="181"/>
      <c r="D536" s="181"/>
      <c r="E536" s="10"/>
      <c r="F536" s="182"/>
      <c r="J536" s="183"/>
      <c r="K536" s="184"/>
    </row>
    <row r="537" ht="22.5" customHeight="1">
      <c r="C537" s="181"/>
      <c r="D537" s="181"/>
      <c r="E537" s="10"/>
      <c r="F537" s="182"/>
      <c r="J537" s="183"/>
      <c r="K537" s="184"/>
    </row>
    <row r="538" ht="22.5" customHeight="1">
      <c r="C538" s="181"/>
      <c r="D538" s="181"/>
      <c r="E538" s="10"/>
      <c r="F538" s="182"/>
      <c r="J538" s="183"/>
      <c r="K538" s="184"/>
    </row>
    <row r="539" ht="22.5" customHeight="1">
      <c r="C539" s="181"/>
      <c r="D539" s="181"/>
      <c r="E539" s="10"/>
      <c r="F539" s="182"/>
      <c r="J539" s="183"/>
      <c r="K539" s="184"/>
    </row>
    <row r="540" ht="22.5" customHeight="1">
      <c r="C540" s="181"/>
      <c r="D540" s="181"/>
      <c r="E540" s="10"/>
      <c r="F540" s="182"/>
      <c r="J540" s="183"/>
      <c r="K540" s="184"/>
    </row>
    <row r="541" ht="22.5" customHeight="1">
      <c r="C541" s="181"/>
      <c r="D541" s="181"/>
      <c r="E541" s="10"/>
      <c r="F541" s="182"/>
      <c r="J541" s="183"/>
      <c r="K541" s="184"/>
    </row>
    <row r="542" ht="22.5" customHeight="1">
      <c r="C542" s="181"/>
      <c r="D542" s="181"/>
      <c r="E542" s="10"/>
      <c r="F542" s="182"/>
      <c r="J542" s="183"/>
      <c r="K542" s="184"/>
    </row>
    <row r="543" ht="22.5" customHeight="1">
      <c r="C543" s="181"/>
      <c r="D543" s="181"/>
      <c r="E543" s="10"/>
      <c r="F543" s="182"/>
      <c r="J543" s="183"/>
      <c r="K543" s="184"/>
    </row>
    <row r="544" ht="22.5" customHeight="1">
      <c r="C544" s="181"/>
      <c r="D544" s="181"/>
      <c r="E544" s="10"/>
      <c r="F544" s="182"/>
      <c r="J544" s="183"/>
      <c r="K544" s="184"/>
    </row>
    <row r="545" ht="22.5" customHeight="1">
      <c r="C545" s="181"/>
      <c r="D545" s="181"/>
      <c r="E545" s="10"/>
      <c r="F545" s="182"/>
      <c r="J545" s="183"/>
      <c r="K545" s="184"/>
    </row>
    <row r="546" ht="22.5" customHeight="1">
      <c r="C546" s="181"/>
      <c r="D546" s="181"/>
      <c r="E546" s="10"/>
      <c r="F546" s="182"/>
      <c r="J546" s="183"/>
      <c r="K546" s="184"/>
    </row>
    <row r="547" ht="22.5" customHeight="1">
      <c r="C547" s="181"/>
      <c r="D547" s="181"/>
      <c r="E547" s="10"/>
      <c r="F547" s="182"/>
      <c r="J547" s="183"/>
      <c r="K547" s="184"/>
    </row>
    <row r="548" ht="22.5" customHeight="1">
      <c r="C548" s="181"/>
      <c r="D548" s="181"/>
      <c r="E548" s="10"/>
      <c r="F548" s="182"/>
      <c r="J548" s="183"/>
      <c r="K548" s="184"/>
    </row>
    <row r="549" ht="22.5" customHeight="1">
      <c r="C549" s="181"/>
      <c r="D549" s="181"/>
      <c r="E549" s="10"/>
      <c r="F549" s="182"/>
      <c r="J549" s="183"/>
      <c r="K549" s="184"/>
    </row>
    <row r="550" ht="22.5" customHeight="1">
      <c r="C550" s="181"/>
      <c r="D550" s="181"/>
      <c r="E550" s="10"/>
      <c r="F550" s="182"/>
      <c r="J550" s="183"/>
      <c r="K550" s="184"/>
    </row>
    <row r="551" ht="22.5" customHeight="1">
      <c r="C551" s="181"/>
      <c r="D551" s="181"/>
      <c r="E551" s="10"/>
      <c r="F551" s="182"/>
      <c r="J551" s="183"/>
      <c r="K551" s="184"/>
    </row>
    <row r="552" ht="22.5" customHeight="1">
      <c r="C552" s="181"/>
      <c r="D552" s="181"/>
      <c r="E552" s="10"/>
      <c r="F552" s="182"/>
      <c r="J552" s="183"/>
      <c r="K552" s="184"/>
    </row>
    <row r="553" ht="22.5" customHeight="1">
      <c r="C553" s="181"/>
      <c r="D553" s="181"/>
      <c r="E553" s="10"/>
      <c r="F553" s="182"/>
      <c r="J553" s="183"/>
      <c r="K553" s="184"/>
    </row>
    <row r="554" ht="22.5" customHeight="1">
      <c r="C554" s="181"/>
      <c r="D554" s="181"/>
      <c r="E554" s="10"/>
      <c r="F554" s="182"/>
      <c r="J554" s="183"/>
      <c r="K554" s="184"/>
    </row>
    <row r="555" ht="22.5" customHeight="1">
      <c r="C555" s="181"/>
      <c r="D555" s="181"/>
      <c r="E555" s="10"/>
      <c r="F555" s="182"/>
      <c r="J555" s="183"/>
      <c r="K555" s="184"/>
    </row>
    <row r="556" ht="22.5" customHeight="1">
      <c r="C556" s="181"/>
      <c r="D556" s="181"/>
      <c r="E556" s="10"/>
      <c r="F556" s="182"/>
      <c r="J556" s="183"/>
      <c r="K556" s="184"/>
    </row>
    <row r="557" ht="22.5" customHeight="1">
      <c r="C557" s="181"/>
      <c r="D557" s="181"/>
      <c r="E557" s="10"/>
      <c r="F557" s="182"/>
      <c r="J557" s="183"/>
      <c r="K557" s="184"/>
    </row>
    <row r="558" ht="22.5" customHeight="1">
      <c r="C558" s="181"/>
      <c r="D558" s="181"/>
      <c r="E558" s="10"/>
      <c r="F558" s="182"/>
      <c r="J558" s="183"/>
      <c r="K558" s="184"/>
    </row>
    <row r="559" ht="22.5" customHeight="1">
      <c r="C559" s="181"/>
      <c r="D559" s="181"/>
      <c r="E559" s="10"/>
      <c r="F559" s="182"/>
      <c r="J559" s="183"/>
      <c r="K559" s="184"/>
    </row>
    <row r="560" ht="22.5" customHeight="1">
      <c r="C560" s="181"/>
      <c r="D560" s="181"/>
      <c r="E560" s="10"/>
      <c r="F560" s="182"/>
      <c r="J560" s="183"/>
      <c r="K560" s="184"/>
    </row>
    <row r="561" ht="22.5" customHeight="1">
      <c r="C561" s="181"/>
      <c r="D561" s="181"/>
      <c r="E561" s="10"/>
      <c r="F561" s="182"/>
      <c r="J561" s="183"/>
      <c r="K561" s="184"/>
    </row>
    <row r="562" ht="22.5" customHeight="1">
      <c r="C562" s="181"/>
      <c r="D562" s="181"/>
      <c r="E562" s="10"/>
      <c r="F562" s="182"/>
      <c r="J562" s="183"/>
      <c r="K562" s="184"/>
    </row>
    <row r="563" ht="22.5" customHeight="1">
      <c r="C563" s="181"/>
      <c r="D563" s="181"/>
      <c r="E563" s="10"/>
      <c r="F563" s="182"/>
      <c r="J563" s="183"/>
      <c r="K563" s="184"/>
    </row>
    <row r="564" ht="22.5" customHeight="1">
      <c r="C564" s="181"/>
      <c r="D564" s="181"/>
      <c r="E564" s="10"/>
      <c r="F564" s="182"/>
      <c r="J564" s="183"/>
      <c r="K564" s="184"/>
    </row>
    <row r="565" ht="22.5" customHeight="1">
      <c r="C565" s="181"/>
      <c r="D565" s="181"/>
      <c r="E565" s="10"/>
      <c r="F565" s="182"/>
      <c r="J565" s="183"/>
      <c r="K565" s="184"/>
    </row>
    <row r="566" ht="22.5" customHeight="1">
      <c r="C566" s="181"/>
      <c r="D566" s="181"/>
      <c r="E566" s="10"/>
      <c r="F566" s="182"/>
      <c r="J566" s="183"/>
      <c r="K566" s="184"/>
    </row>
    <row r="567" ht="22.5" customHeight="1">
      <c r="C567" s="181"/>
      <c r="D567" s="181"/>
      <c r="E567" s="10"/>
      <c r="F567" s="182"/>
      <c r="J567" s="183"/>
      <c r="K567" s="184"/>
    </row>
    <row r="568" ht="22.5" customHeight="1">
      <c r="C568" s="181"/>
      <c r="D568" s="181"/>
      <c r="E568" s="10"/>
      <c r="F568" s="182"/>
      <c r="J568" s="183"/>
      <c r="K568" s="184"/>
    </row>
    <row r="569" ht="22.5" customHeight="1">
      <c r="C569" s="181"/>
      <c r="D569" s="181"/>
      <c r="E569" s="10"/>
      <c r="F569" s="182"/>
      <c r="J569" s="183"/>
      <c r="K569" s="184"/>
    </row>
    <row r="570" ht="22.5" customHeight="1">
      <c r="C570" s="181"/>
      <c r="D570" s="181"/>
      <c r="E570" s="10"/>
      <c r="F570" s="182"/>
      <c r="J570" s="183"/>
      <c r="K570" s="184"/>
    </row>
    <row r="571" ht="22.5" customHeight="1">
      <c r="C571" s="181"/>
      <c r="D571" s="181"/>
      <c r="E571" s="10"/>
      <c r="F571" s="182"/>
      <c r="J571" s="183"/>
      <c r="K571" s="184"/>
    </row>
    <row r="572" ht="22.5" customHeight="1">
      <c r="C572" s="181"/>
      <c r="D572" s="181"/>
      <c r="E572" s="10"/>
      <c r="F572" s="182"/>
      <c r="J572" s="183"/>
      <c r="K572" s="184"/>
    </row>
    <row r="573" ht="22.5" customHeight="1">
      <c r="C573" s="181"/>
      <c r="D573" s="181"/>
      <c r="E573" s="10"/>
      <c r="F573" s="182"/>
      <c r="J573" s="183"/>
      <c r="K573" s="184"/>
    </row>
    <row r="574" ht="22.5" customHeight="1">
      <c r="C574" s="181"/>
      <c r="D574" s="181"/>
      <c r="E574" s="10"/>
      <c r="F574" s="182"/>
      <c r="J574" s="183"/>
      <c r="K574" s="184"/>
    </row>
    <row r="575" ht="22.5" customHeight="1">
      <c r="C575" s="181"/>
      <c r="D575" s="181"/>
      <c r="E575" s="10"/>
      <c r="F575" s="182"/>
      <c r="J575" s="183"/>
      <c r="K575" s="184"/>
    </row>
    <row r="576" ht="22.5" customHeight="1">
      <c r="C576" s="181"/>
      <c r="D576" s="181"/>
      <c r="E576" s="10"/>
      <c r="F576" s="182"/>
      <c r="J576" s="183"/>
      <c r="K576" s="184"/>
    </row>
    <row r="577" ht="22.5" customHeight="1">
      <c r="C577" s="181"/>
      <c r="D577" s="181"/>
      <c r="E577" s="10"/>
      <c r="F577" s="182"/>
      <c r="J577" s="183"/>
      <c r="K577" s="184"/>
    </row>
    <row r="578" ht="22.5" customHeight="1">
      <c r="C578" s="181"/>
      <c r="D578" s="181"/>
      <c r="E578" s="10"/>
      <c r="F578" s="182"/>
      <c r="J578" s="183"/>
      <c r="K578" s="184"/>
    </row>
    <row r="579" ht="22.5" customHeight="1">
      <c r="C579" s="181"/>
      <c r="D579" s="181"/>
      <c r="E579" s="10"/>
      <c r="F579" s="182"/>
      <c r="J579" s="183"/>
      <c r="K579" s="184"/>
    </row>
    <row r="580" ht="22.5" customHeight="1">
      <c r="C580" s="181"/>
      <c r="D580" s="181"/>
      <c r="E580" s="10"/>
      <c r="F580" s="182"/>
      <c r="J580" s="183"/>
      <c r="K580" s="184"/>
    </row>
    <row r="581" ht="22.5" customHeight="1">
      <c r="C581" s="181"/>
      <c r="D581" s="181"/>
      <c r="E581" s="10"/>
      <c r="F581" s="182"/>
      <c r="J581" s="183"/>
      <c r="K581" s="184"/>
    </row>
    <row r="582" ht="22.5" customHeight="1">
      <c r="C582" s="181"/>
      <c r="D582" s="181"/>
      <c r="E582" s="10"/>
      <c r="F582" s="182"/>
      <c r="J582" s="183"/>
      <c r="K582" s="184"/>
    </row>
    <row r="583" ht="22.5" customHeight="1">
      <c r="C583" s="181"/>
      <c r="D583" s="181"/>
      <c r="E583" s="10"/>
      <c r="F583" s="182"/>
      <c r="J583" s="183"/>
      <c r="K583" s="184"/>
    </row>
    <row r="584" ht="22.5" customHeight="1">
      <c r="C584" s="181"/>
      <c r="D584" s="181"/>
      <c r="E584" s="10"/>
      <c r="F584" s="182"/>
      <c r="J584" s="183"/>
      <c r="K584" s="184"/>
    </row>
    <row r="585" ht="22.5" customHeight="1">
      <c r="C585" s="181"/>
      <c r="D585" s="181"/>
      <c r="E585" s="10"/>
      <c r="F585" s="182"/>
      <c r="J585" s="183"/>
      <c r="K585" s="184"/>
    </row>
    <row r="586" ht="22.5" customHeight="1">
      <c r="C586" s="181"/>
      <c r="D586" s="181"/>
      <c r="E586" s="10"/>
      <c r="F586" s="182"/>
      <c r="J586" s="183"/>
      <c r="K586" s="184"/>
    </row>
    <row r="587" ht="22.5" customHeight="1">
      <c r="C587" s="181"/>
      <c r="D587" s="181"/>
      <c r="E587" s="10"/>
      <c r="F587" s="182"/>
      <c r="J587" s="183"/>
      <c r="K587" s="184"/>
    </row>
    <row r="588" ht="22.5" customHeight="1">
      <c r="C588" s="181"/>
      <c r="D588" s="181"/>
      <c r="E588" s="10"/>
      <c r="F588" s="182"/>
      <c r="J588" s="183"/>
      <c r="K588" s="184"/>
    </row>
    <row r="589" ht="22.5" customHeight="1">
      <c r="C589" s="181"/>
      <c r="D589" s="181"/>
      <c r="E589" s="10"/>
      <c r="F589" s="182"/>
      <c r="J589" s="183"/>
      <c r="K589" s="184"/>
    </row>
    <row r="590" ht="22.5" customHeight="1">
      <c r="C590" s="181"/>
      <c r="D590" s="181"/>
      <c r="E590" s="10"/>
      <c r="F590" s="182"/>
      <c r="J590" s="183"/>
      <c r="K590" s="184"/>
    </row>
    <row r="591" ht="22.5" customHeight="1">
      <c r="C591" s="181"/>
      <c r="D591" s="181"/>
      <c r="E591" s="10"/>
      <c r="F591" s="182"/>
      <c r="J591" s="183"/>
      <c r="K591" s="184"/>
    </row>
    <row r="592" ht="22.5" customHeight="1">
      <c r="C592" s="181"/>
      <c r="D592" s="181"/>
      <c r="E592" s="10"/>
      <c r="F592" s="182"/>
      <c r="J592" s="183"/>
      <c r="K592" s="184"/>
    </row>
    <row r="593" ht="22.5" customHeight="1">
      <c r="C593" s="181"/>
      <c r="D593" s="181"/>
      <c r="E593" s="10"/>
      <c r="F593" s="182"/>
      <c r="J593" s="183"/>
      <c r="K593" s="184"/>
    </row>
    <row r="594" ht="22.5" customHeight="1">
      <c r="C594" s="181"/>
      <c r="D594" s="181"/>
      <c r="E594" s="10"/>
      <c r="F594" s="182"/>
      <c r="J594" s="183"/>
      <c r="K594" s="184"/>
    </row>
    <row r="595" ht="22.5" customHeight="1">
      <c r="C595" s="181"/>
      <c r="D595" s="181"/>
      <c r="E595" s="10"/>
      <c r="F595" s="182"/>
      <c r="J595" s="183"/>
      <c r="K595" s="184"/>
    </row>
    <row r="596" ht="22.5" customHeight="1">
      <c r="C596" s="181"/>
      <c r="D596" s="181"/>
      <c r="E596" s="10"/>
      <c r="F596" s="182"/>
      <c r="J596" s="183"/>
      <c r="K596" s="184"/>
    </row>
    <row r="597" ht="22.5" customHeight="1">
      <c r="C597" s="181"/>
      <c r="D597" s="181"/>
      <c r="E597" s="10"/>
      <c r="F597" s="182"/>
      <c r="J597" s="183"/>
      <c r="K597" s="184"/>
    </row>
    <row r="598" ht="22.5" customHeight="1">
      <c r="C598" s="181"/>
      <c r="D598" s="181"/>
      <c r="E598" s="10"/>
      <c r="F598" s="182"/>
      <c r="J598" s="183"/>
      <c r="K598" s="184"/>
    </row>
    <row r="599" ht="22.5" customHeight="1">
      <c r="C599" s="181"/>
      <c r="D599" s="181"/>
      <c r="E599" s="10"/>
      <c r="F599" s="182"/>
      <c r="J599" s="183"/>
      <c r="K599" s="184"/>
    </row>
    <row r="600" ht="22.5" customHeight="1">
      <c r="C600" s="181"/>
      <c r="D600" s="181"/>
      <c r="E600" s="10"/>
      <c r="F600" s="182"/>
      <c r="J600" s="183"/>
      <c r="K600" s="184"/>
    </row>
    <row r="601" ht="22.5" customHeight="1">
      <c r="C601" s="181"/>
      <c r="D601" s="181"/>
      <c r="E601" s="10"/>
      <c r="F601" s="182"/>
      <c r="J601" s="183"/>
      <c r="K601" s="184"/>
    </row>
    <row r="602" ht="22.5" customHeight="1">
      <c r="C602" s="181"/>
      <c r="D602" s="181"/>
      <c r="E602" s="10"/>
      <c r="F602" s="182"/>
      <c r="J602" s="183"/>
      <c r="K602" s="184"/>
    </row>
    <row r="603" ht="22.5" customHeight="1">
      <c r="C603" s="181"/>
      <c r="D603" s="181"/>
      <c r="E603" s="10"/>
      <c r="F603" s="182"/>
      <c r="J603" s="183"/>
      <c r="K603" s="184"/>
    </row>
    <row r="604" ht="22.5" customHeight="1">
      <c r="C604" s="181"/>
      <c r="D604" s="181"/>
      <c r="E604" s="10"/>
      <c r="F604" s="182"/>
      <c r="J604" s="183"/>
      <c r="K604" s="184"/>
    </row>
    <row r="605" ht="22.5" customHeight="1">
      <c r="C605" s="181"/>
      <c r="D605" s="181"/>
      <c r="E605" s="10"/>
      <c r="F605" s="182"/>
      <c r="J605" s="183"/>
      <c r="K605" s="184"/>
    </row>
    <row r="606" ht="22.5" customHeight="1">
      <c r="C606" s="181"/>
      <c r="D606" s="181"/>
      <c r="E606" s="10"/>
      <c r="F606" s="182"/>
      <c r="J606" s="183"/>
      <c r="K606" s="184"/>
    </row>
    <row r="607" ht="22.5" customHeight="1">
      <c r="C607" s="181"/>
      <c r="D607" s="181"/>
      <c r="E607" s="10"/>
      <c r="F607" s="182"/>
      <c r="J607" s="183"/>
      <c r="K607" s="184"/>
    </row>
    <row r="608" ht="22.5" customHeight="1">
      <c r="C608" s="181"/>
      <c r="D608" s="181"/>
      <c r="E608" s="10"/>
      <c r="F608" s="182"/>
      <c r="J608" s="183"/>
      <c r="K608" s="184"/>
    </row>
    <row r="609" ht="22.5" customHeight="1">
      <c r="C609" s="181"/>
      <c r="D609" s="181"/>
      <c r="E609" s="10"/>
      <c r="F609" s="182"/>
      <c r="J609" s="183"/>
      <c r="K609" s="184"/>
    </row>
    <row r="610" ht="22.5" customHeight="1">
      <c r="C610" s="181"/>
      <c r="D610" s="181"/>
      <c r="E610" s="10"/>
      <c r="F610" s="182"/>
      <c r="J610" s="183"/>
      <c r="K610" s="184"/>
    </row>
    <row r="611" ht="22.5" customHeight="1">
      <c r="C611" s="181"/>
      <c r="D611" s="181"/>
      <c r="E611" s="10"/>
      <c r="F611" s="182"/>
      <c r="J611" s="183"/>
      <c r="K611" s="184"/>
    </row>
    <row r="612" ht="22.5" customHeight="1">
      <c r="C612" s="181"/>
      <c r="D612" s="181"/>
      <c r="E612" s="10"/>
      <c r="F612" s="182"/>
      <c r="J612" s="183"/>
      <c r="K612" s="184"/>
    </row>
    <row r="613" ht="22.5" customHeight="1">
      <c r="C613" s="181"/>
      <c r="D613" s="181"/>
      <c r="E613" s="10"/>
      <c r="F613" s="182"/>
      <c r="J613" s="183"/>
      <c r="K613" s="184"/>
    </row>
    <row r="614" ht="22.5" customHeight="1">
      <c r="C614" s="181"/>
      <c r="D614" s="181"/>
      <c r="E614" s="10"/>
      <c r="F614" s="182"/>
      <c r="J614" s="183"/>
      <c r="K614" s="184"/>
    </row>
    <row r="615" ht="22.5" customHeight="1">
      <c r="C615" s="181"/>
      <c r="D615" s="181"/>
      <c r="E615" s="10"/>
      <c r="F615" s="182"/>
      <c r="J615" s="183"/>
      <c r="K615" s="184"/>
    </row>
    <row r="616" ht="22.5" customHeight="1">
      <c r="C616" s="181"/>
      <c r="D616" s="181"/>
      <c r="E616" s="10"/>
      <c r="F616" s="182"/>
      <c r="J616" s="183"/>
      <c r="K616" s="184"/>
    </row>
    <row r="617" ht="22.5" customHeight="1">
      <c r="C617" s="181"/>
      <c r="D617" s="181"/>
      <c r="E617" s="10"/>
      <c r="F617" s="182"/>
      <c r="J617" s="183"/>
      <c r="K617" s="184"/>
    </row>
    <row r="618" ht="22.5" customHeight="1">
      <c r="C618" s="181"/>
      <c r="D618" s="181"/>
      <c r="E618" s="10"/>
      <c r="F618" s="182"/>
      <c r="J618" s="183"/>
      <c r="K618" s="184"/>
    </row>
    <row r="619" ht="22.5" customHeight="1">
      <c r="C619" s="181"/>
      <c r="D619" s="181"/>
      <c r="E619" s="10"/>
      <c r="F619" s="182"/>
      <c r="J619" s="183"/>
      <c r="K619" s="184"/>
    </row>
    <row r="620" ht="22.5" customHeight="1">
      <c r="C620" s="181"/>
      <c r="D620" s="181"/>
      <c r="E620" s="10"/>
      <c r="F620" s="182"/>
      <c r="J620" s="183"/>
      <c r="K620" s="184"/>
    </row>
    <row r="621" ht="22.5" customHeight="1">
      <c r="C621" s="181"/>
      <c r="D621" s="181"/>
      <c r="E621" s="10"/>
      <c r="F621" s="182"/>
      <c r="J621" s="183"/>
      <c r="K621" s="184"/>
    </row>
    <row r="622" ht="22.5" customHeight="1">
      <c r="C622" s="181"/>
      <c r="D622" s="181"/>
      <c r="E622" s="10"/>
      <c r="F622" s="182"/>
      <c r="J622" s="183"/>
      <c r="K622" s="184"/>
    </row>
    <row r="623" ht="22.5" customHeight="1">
      <c r="C623" s="181"/>
      <c r="D623" s="181"/>
      <c r="E623" s="10"/>
      <c r="F623" s="182"/>
      <c r="J623" s="183"/>
      <c r="K623" s="184"/>
    </row>
    <row r="624" ht="22.5" customHeight="1">
      <c r="C624" s="181"/>
      <c r="D624" s="181"/>
      <c r="E624" s="10"/>
      <c r="F624" s="182"/>
      <c r="J624" s="183"/>
      <c r="K624" s="184"/>
    </row>
    <row r="625" ht="22.5" customHeight="1">
      <c r="C625" s="181"/>
      <c r="D625" s="181"/>
      <c r="E625" s="10"/>
      <c r="F625" s="182"/>
      <c r="J625" s="183"/>
      <c r="K625" s="184"/>
    </row>
    <row r="626" ht="22.5" customHeight="1">
      <c r="C626" s="181"/>
      <c r="D626" s="181"/>
      <c r="E626" s="10"/>
      <c r="F626" s="182"/>
      <c r="J626" s="183"/>
      <c r="K626" s="184"/>
    </row>
    <row r="627" ht="22.5" customHeight="1">
      <c r="C627" s="181"/>
      <c r="D627" s="181"/>
      <c r="E627" s="10"/>
      <c r="F627" s="182"/>
      <c r="J627" s="183"/>
      <c r="K627" s="184"/>
    </row>
    <row r="628" ht="22.5" customHeight="1">
      <c r="C628" s="181"/>
      <c r="D628" s="181"/>
      <c r="E628" s="10"/>
      <c r="F628" s="182"/>
      <c r="J628" s="183"/>
      <c r="K628" s="184"/>
    </row>
    <row r="629" ht="22.5" customHeight="1">
      <c r="C629" s="181"/>
      <c r="D629" s="181"/>
      <c r="E629" s="10"/>
      <c r="F629" s="182"/>
      <c r="J629" s="183"/>
      <c r="K629" s="184"/>
    </row>
    <row r="630" ht="22.5" customHeight="1">
      <c r="C630" s="181"/>
      <c r="D630" s="181"/>
      <c r="E630" s="10"/>
      <c r="F630" s="182"/>
      <c r="J630" s="183"/>
      <c r="K630" s="184"/>
    </row>
    <row r="631" ht="22.5" customHeight="1">
      <c r="C631" s="181"/>
      <c r="D631" s="181"/>
      <c r="E631" s="10"/>
      <c r="F631" s="182"/>
      <c r="J631" s="183"/>
      <c r="K631" s="184"/>
    </row>
    <row r="632" ht="22.5" customHeight="1">
      <c r="C632" s="181"/>
      <c r="D632" s="181"/>
      <c r="E632" s="10"/>
      <c r="F632" s="182"/>
      <c r="J632" s="183"/>
      <c r="K632" s="184"/>
    </row>
    <row r="633" ht="22.5" customHeight="1">
      <c r="C633" s="181"/>
      <c r="D633" s="181"/>
      <c r="E633" s="10"/>
      <c r="F633" s="182"/>
      <c r="J633" s="183"/>
      <c r="K633" s="184"/>
    </row>
    <row r="634" ht="22.5" customHeight="1">
      <c r="C634" s="181"/>
      <c r="D634" s="181"/>
      <c r="E634" s="10"/>
      <c r="F634" s="182"/>
      <c r="J634" s="183"/>
      <c r="K634" s="184"/>
    </row>
    <row r="635" ht="22.5" customHeight="1">
      <c r="C635" s="181"/>
      <c r="D635" s="181"/>
      <c r="E635" s="10"/>
      <c r="F635" s="182"/>
      <c r="J635" s="183"/>
      <c r="K635" s="184"/>
    </row>
    <row r="636" ht="22.5" customHeight="1">
      <c r="C636" s="181"/>
      <c r="D636" s="181"/>
      <c r="E636" s="10"/>
      <c r="F636" s="182"/>
      <c r="J636" s="183"/>
      <c r="K636" s="184"/>
    </row>
    <row r="637" ht="22.5" customHeight="1">
      <c r="C637" s="181"/>
      <c r="D637" s="181"/>
      <c r="E637" s="10"/>
      <c r="F637" s="182"/>
      <c r="J637" s="183"/>
      <c r="K637" s="184"/>
    </row>
    <row r="638" ht="22.5" customHeight="1">
      <c r="C638" s="181"/>
      <c r="D638" s="181"/>
      <c r="E638" s="10"/>
      <c r="F638" s="182"/>
      <c r="J638" s="183"/>
      <c r="K638" s="184"/>
    </row>
    <row r="639" ht="22.5" customHeight="1">
      <c r="C639" s="181"/>
      <c r="D639" s="181"/>
      <c r="E639" s="10"/>
      <c r="F639" s="182"/>
      <c r="J639" s="183"/>
      <c r="K639" s="184"/>
    </row>
    <row r="640" ht="22.5" customHeight="1">
      <c r="C640" s="181"/>
      <c r="D640" s="181"/>
      <c r="E640" s="10"/>
      <c r="F640" s="182"/>
      <c r="J640" s="183"/>
      <c r="K640" s="184"/>
    </row>
    <row r="641" ht="22.5" customHeight="1">
      <c r="C641" s="181"/>
      <c r="D641" s="181"/>
      <c r="E641" s="10"/>
      <c r="F641" s="182"/>
      <c r="J641" s="183"/>
      <c r="K641" s="184"/>
    </row>
    <row r="642" ht="22.5" customHeight="1">
      <c r="C642" s="181"/>
      <c r="D642" s="181"/>
      <c r="E642" s="10"/>
      <c r="F642" s="182"/>
      <c r="J642" s="183"/>
      <c r="K642" s="184"/>
    </row>
    <row r="643" ht="22.5" customHeight="1">
      <c r="C643" s="181"/>
      <c r="D643" s="181"/>
      <c r="E643" s="10"/>
      <c r="F643" s="182"/>
      <c r="J643" s="183"/>
      <c r="K643" s="184"/>
    </row>
    <row r="644" ht="22.5" customHeight="1">
      <c r="C644" s="181"/>
      <c r="D644" s="181"/>
      <c r="E644" s="10"/>
      <c r="F644" s="182"/>
      <c r="J644" s="183"/>
      <c r="K644" s="184"/>
    </row>
    <row r="645" ht="22.5" customHeight="1">
      <c r="C645" s="181"/>
      <c r="D645" s="181"/>
      <c r="E645" s="10"/>
      <c r="F645" s="182"/>
      <c r="J645" s="183"/>
      <c r="K645" s="184"/>
    </row>
    <row r="646" ht="22.5" customHeight="1">
      <c r="C646" s="181"/>
      <c r="D646" s="181"/>
      <c r="E646" s="10"/>
      <c r="F646" s="182"/>
      <c r="J646" s="183"/>
      <c r="K646" s="184"/>
    </row>
    <row r="647" ht="22.5" customHeight="1">
      <c r="C647" s="181"/>
      <c r="D647" s="181"/>
      <c r="E647" s="10"/>
      <c r="F647" s="182"/>
      <c r="J647" s="183"/>
      <c r="K647" s="184"/>
    </row>
    <row r="648" ht="22.5" customHeight="1">
      <c r="C648" s="181"/>
      <c r="D648" s="181"/>
      <c r="E648" s="10"/>
      <c r="F648" s="182"/>
      <c r="J648" s="183"/>
      <c r="K648" s="184"/>
    </row>
    <row r="649" ht="22.5" customHeight="1">
      <c r="C649" s="181"/>
      <c r="D649" s="181"/>
      <c r="E649" s="10"/>
      <c r="F649" s="182"/>
      <c r="J649" s="183"/>
      <c r="K649" s="184"/>
    </row>
    <row r="650" ht="22.5" customHeight="1">
      <c r="C650" s="181"/>
      <c r="D650" s="181"/>
      <c r="E650" s="10"/>
      <c r="F650" s="182"/>
      <c r="J650" s="183"/>
      <c r="K650" s="184"/>
    </row>
    <row r="651" ht="22.5" customHeight="1">
      <c r="C651" s="181"/>
      <c r="D651" s="181"/>
      <c r="E651" s="10"/>
      <c r="F651" s="182"/>
      <c r="J651" s="183"/>
      <c r="K651" s="184"/>
    </row>
    <row r="652" ht="22.5" customHeight="1">
      <c r="C652" s="181"/>
      <c r="D652" s="181"/>
      <c r="E652" s="10"/>
      <c r="F652" s="182"/>
      <c r="J652" s="183"/>
      <c r="K652" s="184"/>
    </row>
    <row r="653" ht="22.5" customHeight="1">
      <c r="C653" s="181"/>
      <c r="D653" s="181"/>
      <c r="E653" s="10"/>
      <c r="F653" s="182"/>
      <c r="J653" s="183"/>
      <c r="K653" s="184"/>
    </row>
    <row r="654" ht="22.5" customHeight="1">
      <c r="C654" s="181"/>
      <c r="D654" s="181"/>
      <c r="E654" s="10"/>
      <c r="F654" s="182"/>
      <c r="J654" s="183"/>
      <c r="K654" s="184"/>
    </row>
    <row r="655" ht="22.5" customHeight="1">
      <c r="C655" s="181"/>
      <c r="D655" s="181"/>
      <c r="E655" s="10"/>
      <c r="F655" s="182"/>
      <c r="J655" s="183"/>
      <c r="K655" s="184"/>
    </row>
    <row r="656" ht="22.5" customHeight="1">
      <c r="C656" s="181"/>
      <c r="D656" s="181"/>
      <c r="E656" s="10"/>
      <c r="F656" s="182"/>
      <c r="J656" s="183"/>
      <c r="K656" s="184"/>
    </row>
    <row r="657" ht="22.5" customHeight="1">
      <c r="C657" s="181"/>
      <c r="D657" s="181"/>
      <c r="E657" s="10"/>
      <c r="F657" s="182"/>
      <c r="J657" s="183"/>
      <c r="K657" s="184"/>
    </row>
    <row r="658" ht="22.5" customHeight="1">
      <c r="C658" s="181"/>
      <c r="D658" s="181"/>
      <c r="E658" s="10"/>
      <c r="F658" s="182"/>
      <c r="J658" s="183"/>
      <c r="K658" s="184"/>
    </row>
    <row r="659" ht="22.5" customHeight="1">
      <c r="C659" s="181"/>
      <c r="D659" s="181"/>
      <c r="E659" s="10"/>
      <c r="F659" s="182"/>
      <c r="J659" s="183"/>
      <c r="K659" s="184"/>
    </row>
    <row r="660" ht="22.5" customHeight="1">
      <c r="C660" s="181"/>
      <c r="D660" s="181"/>
      <c r="E660" s="10"/>
      <c r="F660" s="182"/>
      <c r="J660" s="183"/>
      <c r="K660" s="184"/>
    </row>
    <row r="661" ht="22.5" customHeight="1">
      <c r="C661" s="181"/>
      <c r="D661" s="181"/>
      <c r="E661" s="10"/>
      <c r="F661" s="182"/>
      <c r="J661" s="183"/>
      <c r="K661" s="184"/>
    </row>
    <row r="662" ht="22.5" customHeight="1">
      <c r="C662" s="181"/>
      <c r="D662" s="181"/>
      <c r="E662" s="10"/>
      <c r="F662" s="182"/>
      <c r="J662" s="183"/>
      <c r="K662" s="184"/>
    </row>
    <row r="663" ht="22.5" customHeight="1">
      <c r="C663" s="181"/>
      <c r="D663" s="181"/>
      <c r="E663" s="10"/>
      <c r="F663" s="182"/>
      <c r="J663" s="183"/>
      <c r="K663" s="184"/>
    </row>
    <row r="664" ht="22.5" customHeight="1">
      <c r="C664" s="181"/>
      <c r="D664" s="181"/>
      <c r="E664" s="10"/>
      <c r="F664" s="182"/>
      <c r="J664" s="183"/>
      <c r="K664" s="184"/>
    </row>
    <row r="665" ht="22.5" customHeight="1">
      <c r="C665" s="181"/>
      <c r="D665" s="181"/>
      <c r="E665" s="10"/>
      <c r="F665" s="182"/>
      <c r="J665" s="183"/>
      <c r="K665" s="184"/>
    </row>
    <row r="666" ht="22.5" customHeight="1">
      <c r="C666" s="181"/>
      <c r="D666" s="181"/>
      <c r="E666" s="10"/>
      <c r="F666" s="182"/>
      <c r="J666" s="183"/>
      <c r="K666" s="184"/>
    </row>
    <row r="667" ht="22.5" customHeight="1">
      <c r="C667" s="181"/>
      <c r="D667" s="181"/>
      <c r="E667" s="10"/>
      <c r="F667" s="182"/>
      <c r="J667" s="183"/>
      <c r="K667" s="184"/>
    </row>
    <row r="668" ht="22.5" customHeight="1">
      <c r="C668" s="181"/>
      <c r="D668" s="181"/>
      <c r="E668" s="10"/>
      <c r="F668" s="182"/>
      <c r="J668" s="183"/>
      <c r="K668" s="184"/>
    </row>
    <row r="669" ht="22.5" customHeight="1">
      <c r="C669" s="181"/>
      <c r="D669" s="181"/>
      <c r="E669" s="10"/>
      <c r="F669" s="182"/>
      <c r="J669" s="183"/>
      <c r="K669" s="184"/>
    </row>
    <row r="670" ht="22.5" customHeight="1">
      <c r="C670" s="181"/>
      <c r="D670" s="181"/>
      <c r="E670" s="10"/>
      <c r="F670" s="182"/>
      <c r="J670" s="183"/>
      <c r="K670" s="184"/>
    </row>
    <row r="671" ht="22.5" customHeight="1">
      <c r="C671" s="181"/>
      <c r="D671" s="181"/>
      <c r="E671" s="10"/>
      <c r="F671" s="182"/>
      <c r="J671" s="183"/>
      <c r="K671" s="184"/>
    </row>
    <row r="672" ht="22.5" customHeight="1">
      <c r="C672" s="181"/>
      <c r="D672" s="181"/>
      <c r="E672" s="10"/>
      <c r="F672" s="182"/>
      <c r="J672" s="183"/>
      <c r="K672" s="184"/>
    </row>
    <row r="673" ht="22.5" customHeight="1">
      <c r="C673" s="181"/>
      <c r="D673" s="181"/>
      <c r="E673" s="10"/>
      <c r="F673" s="182"/>
      <c r="J673" s="183"/>
      <c r="K673" s="184"/>
    </row>
    <row r="674" ht="22.5" customHeight="1">
      <c r="C674" s="181"/>
      <c r="D674" s="181"/>
      <c r="E674" s="10"/>
      <c r="F674" s="182"/>
      <c r="J674" s="183"/>
      <c r="K674" s="184"/>
    </row>
    <row r="675" ht="22.5" customHeight="1">
      <c r="C675" s="181"/>
      <c r="D675" s="181"/>
      <c r="E675" s="10"/>
      <c r="F675" s="182"/>
      <c r="J675" s="183"/>
      <c r="K675" s="184"/>
    </row>
    <row r="676" ht="22.5" customHeight="1">
      <c r="C676" s="181"/>
      <c r="D676" s="181"/>
      <c r="E676" s="10"/>
      <c r="F676" s="182"/>
      <c r="J676" s="183"/>
      <c r="K676" s="184"/>
    </row>
    <row r="677" ht="22.5" customHeight="1">
      <c r="C677" s="181"/>
      <c r="D677" s="181"/>
      <c r="E677" s="10"/>
      <c r="F677" s="182"/>
      <c r="J677" s="183"/>
      <c r="K677" s="184"/>
    </row>
    <row r="678" ht="22.5" customHeight="1">
      <c r="C678" s="181"/>
      <c r="D678" s="181"/>
      <c r="E678" s="10"/>
      <c r="F678" s="182"/>
      <c r="J678" s="183"/>
      <c r="K678" s="184"/>
    </row>
    <row r="679" ht="22.5" customHeight="1">
      <c r="C679" s="181"/>
      <c r="D679" s="181"/>
      <c r="E679" s="10"/>
      <c r="F679" s="182"/>
      <c r="J679" s="183"/>
      <c r="K679" s="184"/>
    </row>
    <row r="680" ht="22.5" customHeight="1">
      <c r="C680" s="181"/>
      <c r="D680" s="181"/>
      <c r="E680" s="10"/>
      <c r="F680" s="182"/>
      <c r="J680" s="183"/>
      <c r="K680" s="184"/>
    </row>
    <row r="681" ht="22.5" customHeight="1">
      <c r="C681" s="181"/>
      <c r="D681" s="181"/>
      <c r="E681" s="10"/>
      <c r="F681" s="182"/>
      <c r="J681" s="183"/>
      <c r="K681" s="184"/>
    </row>
    <row r="682" ht="22.5" customHeight="1">
      <c r="C682" s="181"/>
      <c r="D682" s="181"/>
      <c r="E682" s="10"/>
      <c r="F682" s="182"/>
      <c r="J682" s="183"/>
      <c r="K682" s="184"/>
    </row>
    <row r="683" ht="22.5" customHeight="1">
      <c r="C683" s="181"/>
      <c r="D683" s="181"/>
      <c r="E683" s="10"/>
      <c r="F683" s="182"/>
      <c r="J683" s="183"/>
      <c r="K683" s="184"/>
    </row>
    <row r="684" ht="22.5" customHeight="1">
      <c r="C684" s="181"/>
      <c r="D684" s="181"/>
      <c r="E684" s="10"/>
      <c r="F684" s="182"/>
      <c r="J684" s="183"/>
      <c r="K684" s="184"/>
    </row>
    <row r="685" ht="22.5" customHeight="1">
      <c r="C685" s="181"/>
      <c r="D685" s="181"/>
      <c r="E685" s="10"/>
      <c r="F685" s="182"/>
      <c r="J685" s="183"/>
      <c r="K685" s="184"/>
    </row>
    <row r="686" ht="22.5" customHeight="1">
      <c r="C686" s="181"/>
      <c r="D686" s="181"/>
      <c r="E686" s="10"/>
      <c r="F686" s="182"/>
      <c r="J686" s="183"/>
      <c r="K686" s="184"/>
    </row>
    <row r="687" ht="22.5" customHeight="1">
      <c r="C687" s="181"/>
      <c r="D687" s="181"/>
      <c r="E687" s="10"/>
      <c r="F687" s="182"/>
      <c r="J687" s="183"/>
      <c r="K687" s="184"/>
    </row>
    <row r="688" ht="22.5" customHeight="1">
      <c r="C688" s="181"/>
      <c r="D688" s="181"/>
      <c r="E688" s="10"/>
      <c r="F688" s="182"/>
      <c r="J688" s="183"/>
      <c r="K688" s="184"/>
    </row>
    <row r="689" ht="22.5" customHeight="1">
      <c r="C689" s="181"/>
      <c r="D689" s="181"/>
      <c r="E689" s="10"/>
      <c r="F689" s="182"/>
      <c r="J689" s="183"/>
      <c r="K689" s="184"/>
    </row>
    <row r="690" ht="22.5" customHeight="1">
      <c r="C690" s="181"/>
      <c r="D690" s="181"/>
      <c r="E690" s="10"/>
      <c r="F690" s="182"/>
      <c r="J690" s="183"/>
      <c r="K690" s="184"/>
    </row>
    <row r="691" ht="22.5" customHeight="1">
      <c r="C691" s="181"/>
      <c r="D691" s="181"/>
      <c r="E691" s="10"/>
      <c r="F691" s="182"/>
      <c r="J691" s="183"/>
      <c r="K691" s="184"/>
    </row>
    <row r="692" ht="22.5" customHeight="1">
      <c r="C692" s="181"/>
      <c r="D692" s="181"/>
      <c r="E692" s="10"/>
      <c r="F692" s="182"/>
      <c r="J692" s="183"/>
      <c r="K692" s="184"/>
    </row>
    <row r="693" ht="22.5" customHeight="1">
      <c r="C693" s="181"/>
      <c r="D693" s="181"/>
      <c r="E693" s="10"/>
      <c r="F693" s="182"/>
      <c r="J693" s="183"/>
      <c r="K693" s="184"/>
    </row>
    <row r="694" ht="22.5" customHeight="1">
      <c r="C694" s="181"/>
      <c r="D694" s="181"/>
      <c r="E694" s="10"/>
      <c r="F694" s="182"/>
      <c r="J694" s="183"/>
      <c r="K694" s="184"/>
    </row>
    <row r="695" ht="22.5" customHeight="1">
      <c r="C695" s="181"/>
      <c r="D695" s="181"/>
      <c r="E695" s="10"/>
      <c r="F695" s="182"/>
      <c r="J695" s="183"/>
      <c r="K695" s="184"/>
    </row>
    <row r="696" ht="22.5" customHeight="1">
      <c r="C696" s="181"/>
      <c r="D696" s="181"/>
      <c r="E696" s="10"/>
      <c r="F696" s="182"/>
      <c r="J696" s="183"/>
      <c r="K696" s="184"/>
    </row>
    <row r="697" ht="22.5" customHeight="1">
      <c r="C697" s="181"/>
      <c r="D697" s="181"/>
      <c r="E697" s="10"/>
      <c r="F697" s="182"/>
      <c r="J697" s="183"/>
      <c r="K697" s="184"/>
    </row>
    <row r="698" ht="22.5" customHeight="1">
      <c r="C698" s="181"/>
      <c r="D698" s="181"/>
      <c r="E698" s="10"/>
      <c r="F698" s="182"/>
      <c r="J698" s="183"/>
      <c r="K698" s="184"/>
    </row>
    <row r="699" ht="22.5" customHeight="1">
      <c r="C699" s="181"/>
      <c r="D699" s="181"/>
      <c r="E699" s="10"/>
      <c r="F699" s="182"/>
      <c r="J699" s="183"/>
      <c r="K699" s="184"/>
    </row>
    <row r="700" ht="22.5" customHeight="1">
      <c r="C700" s="181"/>
      <c r="D700" s="181"/>
      <c r="E700" s="10"/>
      <c r="F700" s="182"/>
      <c r="J700" s="183"/>
      <c r="K700" s="184"/>
    </row>
    <row r="701" ht="22.5" customHeight="1">
      <c r="C701" s="181"/>
      <c r="D701" s="181"/>
      <c r="E701" s="10"/>
      <c r="F701" s="182"/>
      <c r="J701" s="183"/>
      <c r="K701" s="184"/>
    </row>
    <row r="702" ht="22.5" customHeight="1">
      <c r="C702" s="181"/>
      <c r="D702" s="181"/>
      <c r="E702" s="10"/>
      <c r="F702" s="182"/>
      <c r="J702" s="183"/>
      <c r="K702" s="184"/>
    </row>
    <row r="703" ht="22.5" customHeight="1">
      <c r="C703" s="181"/>
      <c r="D703" s="181"/>
      <c r="E703" s="10"/>
      <c r="F703" s="182"/>
      <c r="J703" s="183"/>
      <c r="K703" s="184"/>
    </row>
    <row r="704" ht="22.5" customHeight="1">
      <c r="C704" s="181"/>
      <c r="D704" s="181"/>
      <c r="E704" s="10"/>
      <c r="F704" s="182"/>
      <c r="J704" s="183"/>
      <c r="K704" s="184"/>
    </row>
    <row r="705" ht="22.5" customHeight="1">
      <c r="C705" s="181"/>
      <c r="D705" s="181"/>
      <c r="E705" s="10"/>
      <c r="F705" s="182"/>
      <c r="J705" s="183"/>
      <c r="K705" s="184"/>
    </row>
    <row r="706" ht="22.5" customHeight="1">
      <c r="C706" s="181"/>
      <c r="D706" s="181"/>
      <c r="E706" s="10"/>
      <c r="F706" s="182"/>
      <c r="J706" s="183"/>
      <c r="K706" s="184"/>
    </row>
    <row r="707" ht="22.5" customHeight="1">
      <c r="C707" s="181"/>
      <c r="D707" s="181"/>
      <c r="E707" s="10"/>
      <c r="F707" s="182"/>
      <c r="J707" s="183"/>
      <c r="K707" s="184"/>
    </row>
    <row r="708" ht="22.5" customHeight="1">
      <c r="C708" s="181"/>
      <c r="D708" s="181"/>
      <c r="E708" s="10"/>
      <c r="F708" s="182"/>
      <c r="J708" s="183"/>
      <c r="K708" s="184"/>
    </row>
    <row r="709" ht="22.5" customHeight="1">
      <c r="C709" s="181"/>
      <c r="D709" s="181"/>
      <c r="E709" s="10"/>
      <c r="F709" s="182"/>
      <c r="J709" s="183"/>
      <c r="K709" s="184"/>
    </row>
    <row r="710" ht="22.5" customHeight="1">
      <c r="C710" s="181"/>
      <c r="D710" s="181"/>
      <c r="E710" s="10"/>
      <c r="F710" s="182"/>
      <c r="J710" s="183"/>
      <c r="K710" s="184"/>
    </row>
    <row r="711" ht="22.5" customHeight="1">
      <c r="C711" s="181"/>
      <c r="D711" s="181"/>
      <c r="E711" s="10"/>
      <c r="F711" s="182"/>
      <c r="J711" s="183"/>
      <c r="K711" s="184"/>
    </row>
    <row r="712" ht="22.5" customHeight="1">
      <c r="C712" s="181"/>
      <c r="D712" s="181"/>
      <c r="E712" s="10"/>
      <c r="F712" s="182"/>
      <c r="J712" s="183"/>
      <c r="K712" s="184"/>
    </row>
    <row r="713" ht="22.5" customHeight="1">
      <c r="C713" s="181"/>
      <c r="D713" s="181"/>
      <c r="E713" s="10"/>
      <c r="F713" s="182"/>
      <c r="J713" s="183"/>
      <c r="K713" s="184"/>
    </row>
    <row r="714" ht="22.5" customHeight="1">
      <c r="C714" s="181"/>
      <c r="D714" s="181"/>
      <c r="E714" s="10"/>
      <c r="F714" s="182"/>
      <c r="J714" s="183"/>
      <c r="K714" s="184"/>
    </row>
    <row r="715" ht="22.5" customHeight="1">
      <c r="C715" s="181"/>
      <c r="D715" s="181"/>
      <c r="E715" s="10"/>
      <c r="F715" s="182"/>
      <c r="J715" s="183"/>
      <c r="K715" s="184"/>
    </row>
    <row r="716" ht="22.5" customHeight="1">
      <c r="C716" s="181"/>
      <c r="D716" s="181"/>
      <c r="E716" s="10"/>
      <c r="F716" s="182"/>
      <c r="J716" s="183"/>
      <c r="K716" s="184"/>
    </row>
    <row r="717" ht="22.5" customHeight="1">
      <c r="C717" s="181"/>
      <c r="D717" s="181"/>
      <c r="E717" s="10"/>
      <c r="F717" s="182"/>
      <c r="J717" s="183"/>
      <c r="K717" s="184"/>
    </row>
    <row r="718" ht="22.5" customHeight="1">
      <c r="C718" s="181"/>
      <c r="D718" s="181"/>
      <c r="E718" s="10"/>
      <c r="F718" s="182"/>
      <c r="J718" s="183"/>
      <c r="K718" s="184"/>
    </row>
    <row r="719" ht="22.5" customHeight="1">
      <c r="C719" s="181"/>
      <c r="D719" s="181"/>
      <c r="E719" s="10"/>
      <c r="F719" s="182"/>
      <c r="J719" s="183"/>
      <c r="K719" s="184"/>
    </row>
    <row r="720" ht="22.5" customHeight="1">
      <c r="C720" s="181"/>
      <c r="D720" s="181"/>
      <c r="E720" s="10"/>
      <c r="F720" s="182"/>
      <c r="J720" s="183"/>
      <c r="K720" s="184"/>
    </row>
    <row r="721" ht="22.5" customHeight="1">
      <c r="C721" s="181"/>
      <c r="D721" s="181"/>
      <c r="E721" s="10"/>
      <c r="F721" s="182"/>
      <c r="J721" s="183"/>
      <c r="K721" s="184"/>
    </row>
    <row r="722" ht="22.5" customHeight="1">
      <c r="C722" s="181"/>
      <c r="D722" s="181"/>
      <c r="E722" s="10"/>
      <c r="F722" s="182"/>
      <c r="J722" s="183"/>
      <c r="K722" s="184"/>
    </row>
    <row r="723" ht="22.5" customHeight="1">
      <c r="C723" s="181"/>
      <c r="D723" s="181"/>
      <c r="E723" s="10"/>
      <c r="F723" s="182"/>
      <c r="J723" s="183"/>
      <c r="K723" s="184"/>
    </row>
    <row r="724" ht="22.5" customHeight="1">
      <c r="C724" s="181"/>
      <c r="D724" s="181"/>
      <c r="E724" s="10"/>
      <c r="F724" s="182"/>
      <c r="J724" s="183"/>
      <c r="K724" s="184"/>
    </row>
    <row r="725" ht="22.5" customHeight="1">
      <c r="C725" s="181"/>
      <c r="D725" s="181"/>
      <c r="E725" s="10"/>
      <c r="F725" s="182"/>
      <c r="J725" s="183"/>
      <c r="K725" s="184"/>
    </row>
    <row r="726" ht="22.5" customHeight="1">
      <c r="C726" s="181"/>
      <c r="D726" s="181"/>
      <c r="E726" s="10"/>
      <c r="F726" s="182"/>
      <c r="J726" s="183"/>
      <c r="K726" s="184"/>
    </row>
    <row r="727" ht="22.5" customHeight="1">
      <c r="C727" s="181"/>
      <c r="D727" s="181"/>
      <c r="E727" s="10"/>
      <c r="F727" s="182"/>
      <c r="J727" s="183"/>
      <c r="K727" s="184"/>
    </row>
    <row r="728" ht="22.5" customHeight="1">
      <c r="C728" s="181"/>
      <c r="D728" s="181"/>
      <c r="E728" s="10"/>
      <c r="F728" s="182"/>
      <c r="J728" s="183"/>
      <c r="K728" s="184"/>
    </row>
    <row r="729" ht="22.5" customHeight="1">
      <c r="C729" s="181"/>
      <c r="D729" s="181"/>
      <c r="E729" s="10"/>
      <c r="F729" s="182"/>
      <c r="J729" s="183"/>
      <c r="K729" s="184"/>
    </row>
    <row r="730" ht="22.5" customHeight="1">
      <c r="C730" s="181"/>
      <c r="D730" s="181"/>
      <c r="E730" s="10"/>
      <c r="F730" s="182"/>
      <c r="J730" s="183"/>
      <c r="K730" s="184"/>
    </row>
    <row r="731" ht="22.5" customHeight="1">
      <c r="C731" s="181"/>
      <c r="D731" s="181"/>
      <c r="E731" s="10"/>
      <c r="F731" s="182"/>
      <c r="J731" s="183"/>
      <c r="K731" s="184"/>
    </row>
    <row r="732" ht="22.5" customHeight="1">
      <c r="C732" s="181"/>
      <c r="D732" s="181"/>
      <c r="E732" s="10"/>
      <c r="F732" s="182"/>
      <c r="J732" s="183"/>
      <c r="K732" s="184"/>
    </row>
    <row r="733" ht="22.5" customHeight="1">
      <c r="C733" s="181"/>
      <c r="D733" s="181"/>
      <c r="E733" s="10"/>
      <c r="F733" s="182"/>
      <c r="J733" s="183"/>
      <c r="K733" s="184"/>
    </row>
    <row r="734" ht="22.5" customHeight="1">
      <c r="C734" s="181"/>
      <c r="D734" s="181"/>
      <c r="E734" s="10"/>
      <c r="F734" s="182"/>
      <c r="J734" s="183"/>
      <c r="K734" s="184"/>
    </row>
    <row r="735" ht="22.5" customHeight="1">
      <c r="C735" s="181"/>
      <c r="D735" s="181"/>
      <c r="E735" s="10"/>
      <c r="F735" s="182"/>
      <c r="J735" s="183"/>
      <c r="K735" s="184"/>
    </row>
    <row r="736" ht="22.5" customHeight="1">
      <c r="C736" s="181"/>
      <c r="D736" s="181"/>
      <c r="E736" s="10"/>
      <c r="F736" s="182"/>
      <c r="J736" s="183"/>
      <c r="K736" s="184"/>
    </row>
    <row r="737" ht="22.5" customHeight="1">
      <c r="C737" s="181"/>
      <c r="D737" s="181"/>
      <c r="E737" s="10"/>
      <c r="F737" s="182"/>
      <c r="J737" s="183"/>
      <c r="K737" s="184"/>
    </row>
    <row r="738" ht="22.5" customHeight="1">
      <c r="C738" s="181"/>
      <c r="D738" s="181"/>
      <c r="E738" s="10"/>
      <c r="F738" s="182"/>
      <c r="J738" s="183"/>
      <c r="K738" s="184"/>
    </row>
    <row r="739" ht="22.5" customHeight="1">
      <c r="C739" s="181"/>
      <c r="D739" s="181"/>
      <c r="E739" s="10"/>
      <c r="F739" s="182"/>
      <c r="J739" s="183"/>
      <c r="K739" s="184"/>
    </row>
    <row r="740" ht="22.5" customHeight="1">
      <c r="C740" s="181"/>
      <c r="D740" s="181"/>
      <c r="E740" s="10"/>
      <c r="F740" s="182"/>
      <c r="J740" s="183"/>
      <c r="K740" s="184"/>
    </row>
    <row r="741" ht="22.5" customHeight="1">
      <c r="C741" s="181"/>
      <c r="D741" s="181"/>
      <c r="E741" s="10"/>
      <c r="F741" s="182"/>
      <c r="J741" s="183"/>
      <c r="K741" s="184"/>
    </row>
    <row r="742" ht="22.5" customHeight="1">
      <c r="C742" s="181"/>
      <c r="D742" s="181"/>
      <c r="E742" s="10"/>
      <c r="F742" s="182"/>
      <c r="J742" s="183"/>
      <c r="K742" s="184"/>
    </row>
    <row r="743" ht="22.5" customHeight="1">
      <c r="C743" s="181"/>
      <c r="D743" s="181"/>
      <c r="E743" s="10"/>
      <c r="F743" s="182"/>
      <c r="J743" s="183"/>
      <c r="K743" s="184"/>
    </row>
    <row r="744" ht="22.5" customHeight="1">
      <c r="C744" s="181"/>
      <c r="D744" s="181"/>
      <c r="E744" s="10"/>
      <c r="F744" s="182"/>
      <c r="J744" s="183"/>
      <c r="K744" s="184"/>
    </row>
    <row r="745" ht="22.5" customHeight="1">
      <c r="C745" s="181"/>
      <c r="D745" s="181"/>
      <c r="E745" s="10"/>
      <c r="F745" s="182"/>
      <c r="J745" s="183"/>
      <c r="K745" s="184"/>
    </row>
    <row r="746" ht="22.5" customHeight="1">
      <c r="C746" s="181"/>
      <c r="D746" s="181"/>
      <c r="E746" s="10"/>
      <c r="F746" s="182"/>
      <c r="J746" s="183"/>
      <c r="K746" s="184"/>
    </row>
    <row r="747" ht="22.5" customHeight="1">
      <c r="C747" s="181"/>
      <c r="D747" s="181"/>
      <c r="E747" s="10"/>
      <c r="F747" s="182"/>
      <c r="J747" s="183"/>
      <c r="K747" s="184"/>
    </row>
    <row r="748" ht="22.5" customHeight="1">
      <c r="C748" s="181"/>
      <c r="D748" s="181"/>
      <c r="E748" s="10"/>
      <c r="F748" s="182"/>
      <c r="J748" s="183"/>
      <c r="K748" s="184"/>
    </row>
    <row r="749" ht="22.5" customHeight="1">
      <c r="C749" s="181"/>
      <c r="D749" s="181"/>
      <c r="E749" s="10"/>
      <c r="F749" s="182"/>
      <c r="J749" s="183"/>
      <c r="K749" s="184"/>
    </row>
    <row r="750" ht="22.5" customHeight="1">
      <c r="C750" s="181"/>
      <c r="D750" s="181"/>
      <c r="E750" s="10"/>
      <c r="F750" s="182"/>
      <c r="J750" s="183"/>
      <c r="K750" s="184"/>
    </row>
    <row r="751" ht="22.5" customHeight="1">
      <c r="C751" s="181"/>
      <c r="D751" s="181"/>
      <c r="E751" s="10"/>
      <c r="F751" s="182"/>
      <c r="J751" s="183"/>
      <c r="K751" s="184"/>
    </row>
    <row r="752" ht="22.5" customHeight="1">
      <c r="C752" s="181"/>
      <c r="D752" s="181"/>
      <c r="E752" s="10"/>
      <c r="F752" s="182"/>
      <c r="J752" s="183"/>
      <c r="K752" s="184"/>
    </row>
    <row r="753" ht="22.5" customHeight="1">
      <c r="C753" s="181"/>
      <c r="D753" s="181"/>
      <c r="E753" s="10"/>
      <c r="F753" s="182"/>
      <c r="J753" s="183"/>
      <c r="K753" s="184"/>
    </row>
    <row r="754" ht="22.5" customHeight="1">
      <c r="C754" s="181"/>
      <c r="D754" s="181"/>
      <c r="E754" s="10"/>
      <c r="F754" s="182"/>
      <c r="J754" s="183"/>
      <c r="K754" s="184"/>
    </row>
    <row r="755" ht="22.5" customHeight="1">
      <c r="C755" s="181"/>
      <c r="D755" s="181"/>
      <c r="E755" s="10"/>
      <c r="F755" s="182"/>
      <c r="J755" s="183"/>
      <c r="K755" s="184"/>
    </row>
    <row r="756" ht="22.5" customHeight="1">
      <c r="C756" s="181"/>
      <c r="D756" s="181"/>
      <c r="E756" s="10"/>
      <c r="F756" s="182"/>
      <c r="J756" s="183"/>
      <c r="K756" s="184"/>
    </row>
    <row r="757" ht="22.5" customHeight="1">
      <c r="C757" s="181"/>
      <c r="D757" s="181"/>
      <c r="E757" s="10"/>
      <c r="F757" s="182"/>
      <c r="J757" s="183"/>
      <c r="K757" s="184"/>
    </row>
    <row r="758" ht="22.5" customHeight="1">
      <c r="C758" s="181"/>
      <c r="D758" s="181"/>
      <c r="E758" s="10"/>
      <c r="F758" s="182"/>
      <c r="J758" s="183"/>
      <c r="K758" s="184"/>
    </row>
    <row r="759" ht="22.5" customHeight="1">
      <c r="C759" s="181"/>
      <c r="D759" s="181"/>
      <c r="E759" s="10"/>
      <c r="F759" s="182"/>
      <c r="J759" s="183"/>
      <c r="K759" s="184"/>
    </row>
    <row r="760" ht="22.5" customHeight="1">
      <c r="C760" s="181"/>
      <c r="D760" s="181"/>
      <c r="E760" s="10"/>
      <c r="F760" s="182"/>
      <c r="J760" s="183"/>
      <c r="K760" s="184"/>
    </row>
    <row r="761" ht="22.5" customHeight="1">
      <c r="C761" s="181"/>
      <c r="D761" s="181"/>
      <c r="E761" s="10"/>
      <c r="F761" s="182"/>
      <c r="J761" s="183"/>
      <c r="K761" s="184"/>
    </row>
    <row r="762" ht="22.5" customHeight="1">
      <c r="C762" s="181"/>
      <c r="D762" s="181"/>
      <c r="E762" s="10"/>
      <c r="F762" s="182"/>
      <c r="J762" s="183"/>
      <c r="K762" s="184"/>
    </row>
    <row r="763" ht="22.5" customHeight="1">
      <c r="C763" s="181"/>
      <c r="D763" s="181"/>
      <c r="E763" s="10"/>
      <c r="F763" s="182"/>
      <c r="J763" s="183"/>
      <c r="K763" s="184"/>
    </row>
    <row r="764" ht="22.5" customHeight="1">
      <c r="C764" s="181"/>
      <c r="D764" s="181"/>
      <c r="E764" s="10"/>
      <c r="F764" s="182"/>
      <c r="J764" s="183"/>
      <c r="K764" s="184"/>
    </row>
    <row r="765" ht="22.5" customHeight="1">
      <c r="C765" s="181"/>
      <c r="D765" s="181"/>
      <c r="E765" s="10"/>
      <c r="F765" s="182"/>
      <c r="J765" s="183"/>
      <c r="K765" s="184"/>
    </row>
    <row r="766" ht="22.5" customHeight="1">
      <c r="C766" s="181"/>
      <c r="D766" s="181"/>
      <c r="E766" s="10"/>
      <c r="F766" s="182"/>
      <c r="J766" s="183"/>
      <c r="K766" s="184"/>
    </row>
    <row r="767" ht="22.5" customHeight="1">
      <c r="C767" s="181"/>
      <c r="D767" s="181"/>
      <c r="E767" s="10"/>
      <c r="F767" s="182"/>
      <c r="J767" s="183"/>
      <c r="K767" s="184"/>
    </row>
    <row r="768" ht="22.5" customHeight="1">
      <c r="C768" s="181"/>
      <c r="D768" s="181"/>
      <c r="E768" s="10"/>
      <c r="F768" s="182"/>
      <c r="J768" s="183"/>
      <c r="K768" s="184"/>
    </row>
    <row r="769" ht="22.5" customHeight="1">
      <c r="C769" s="181"/>
      <c r="D769" s="181"/>
      <c r="E769" s="10"/>
      <c r="F769" s="182"/>
      <c r="J769" s="183"/>
      <c r="K769" s="184"/>
    </row>
    <row r="770" ht="22.5" customHeight="1">
      <c r="C770" s="181"/>
      <c r="D770" s="181"/>
      <c r="E770" s="10"/>
      <c r="F770" s="182"/>
      <c r="J770" s="183"/>
      <c r="K770" s="184"/>
    </row>
    <row r="771" ht="22.5" customHeight="1">
      <c r="C771" s="181"/>
      <c r="D771" s="181"/>
      <c r="E771" s="10"/>
      <c r="F771" s="182"/>
      <c r="J771" s="183"/>
      <c r="K771" s="184"/>
    </row>
    <row r="772" ht="22.5" customHeight="1">
      <c r="C772" s="181"/>
      <c r="D772" s="181"/>
      <c r="E772" s="10"/>
      <c r="F772" s="182"/>
      <c r="J772" s="183"/>
      <c r="K772" s="184"/>
    </row>
    <row r="773" ht="22.5" customHeight="1">
      <c r="C773" s="181"/>
      <c r="D773" s="181"/>
      <c r="E773" s="10"/>
      <c r="F773" s="182"/>
      <c r="J773" s="183"/>
      <c r="K773" s="184"/>
    </row>
    <row r="774" ht="22.5" customHeight="1">
      <c r="C774" s="181"/>
      <c r="D774" s="181"/>
      <c r="E774" s="10"/>
      <c r="F774" s="182"/>
      <c r="J774" s="183"/>
      <c r="K774" s="184"/>
    </row>
    <row r="775" ht="22.5" customHeight="1">
      <c r="C775" s="181"/>
      <c r="D775" s="181"/>
      <c r="E775" s="10"/>
      <c r="F775" s="182"/>
      <c r="J775" s="183"/>
      <c r="K775" s="184"/>
    </row>
    <row r="776" ht="22.5" customHeight="1">
      <c r="C776" s="181"/>
      <c r="D776" s="181"/>
      <c r="E776" s="10"/>
      <c r="F776" s="182"/>
      <c r="J776" s="183"/>
      <c r="K776" s="184"/>
    </row>
    <row r="777" ht="22.5" customHeight="1">
      <c r="C777" s="181"/>
      <c r="D777" s="181"/>
      <c r="E777" s="10"/>
      <c r="F777" s="182"/>
      <c r="J777" s="183"/>
      <c r="K777" s="184"/>
    </row>
    <row r="778" ht="22.5" customHeight="1">
      <c r="C778" s="181"/>
      <c r="D778" s="181"/>
      <c r="E778" s="10"/>
      <c r="F778" s="182"/>
      <c r="J778" s="183"/>
      <c r="K778" s="184"/>
    </row>
    <row r="779" ht="22.5" customHeight="1">
      <c r="C779" s="181"/>
      <c r="D779" s="181"/>
      <c r="E779" s="10"/>
      <c r="F779" s="182"/>
      <c r="J779" s="183"/>
      <c r="K779" s="184"/>
    </row>
    <row r="780" ht="22.5" customHeight="1">
      <c r="C780" s="181"/>
      <c r="D780" s="181"/>
      <c r="E780" s="10"/>
      <c r="F780" s="182"/>
      <c r="J780" s="183"/>
      <c r="K780" s="184"/>
    </row>
    <row r="781" ht="22.5" customHeight="1">
      <c r="C781" s="181"/>
      <c r="D781" s="181"/>
      <c r="E781" s="10"/>
      <c r="F781" s="182"/>
      <c r="J781" s="183"/>
      <c r="K781" s="184"/>
    </row>
    <row r="782" ht="22.5" customHeight="1">
      <c r="C782" s="181"/>
      <c r="D782" s="181"/>
      <c r="E782" s="10"/>
      <c r="F782" s="182"/>
      <c r="J782" s="183"/>
      <c r="K782" s="184"/>
    </row>
    <row r="783" ht="22.5" customHeight="1">
      <c r="C783" s="181"/>
      <c r="D783" s="181"/>
      <c r="E783" s="10"/>
      <c r="F783" s="182"/>
      <c r="J783" s="183"/>
      <c r="K783" s="184"/>
    </row>
    <row r="784" ht="22.5" customHeight="1">
      <c r="C784" s="181"/>
      <c r="D784" s="181"/>
      <c r="E784" s="10"/>
      <c r="F784" s="182"/>
      <c r="J784" s="183"/>
      <c r="K784" s="184"/>
    </row>
    <row r="785" ht="22.5" customHeight="1">
      <c r="C785" s="181"/>
      <c r="D785" s="181"/>
      <c r="E785" s="10"/>
      <c r="F785" s="182"/>
      <c r="J785" s="183"/>
      <c r="K785" s="184"/>
    </row>
    <row r="786" ht="22.5" customHeight="1">
      <c r="C786" s="181"/>
      <c r="D786" s="181"/>
      <c r="E786" s="10"/>
      <c r="F786" s="182"/>
      <c r="J786" s="183"/>
      <c r="K786" s="184"/>
    </row>
    <row r="787" ht="22.5" customHeight="1">
      <c r="C787" s="181"/>
      <c r="D787" s="181"/>
      <c r="E787" s="10"/>
      <c r="F787" s="182"/>
      <c r="J787" s="183"/>
      <c r="K787" s="184"/>
    </row>
    <row r="788" ht="22.5" customHeight="1">
      <c r="C788" s="181"/>
      <c r="D788" s="181"/>
      <c r="E788" s="10"/>
      <c r="F788" s="182"/>
      <c r="J788" s="183"/>
      <c r="K788" s="184"/>
    </row>
    <row r="789" ht="22.5" customHeight="1">
      <c r="C789" s="181"/>
      <c r="D789" s="181"/>
      <c r="E789" s="10"/>
      <c r="F789" s="182"/>
      <c r="J789" s="183"/>
      <c r="K789" s="184"/>
    </row>
    <row r="790" ht="22.5" customHeight="1">
      <c r="C790" s="181"/>
      <c r="D790" s="181"/>
      <c r="E790" s="10"/>
      <c r="F790" s="182"/>
      <c r="J790" s="183"/>
      <c r="K790" s="184"/>
    </row>
    <row r="791" ht="22.5" customHeight="1">
      <c r="C791" s="181"/>
      <c r="D791" s="181"/>
      <c r="E791" s="10"/>
      <c r="F791" s="182"/>
      <c r="J791" s="183"/>
      <c r="K791" s="184"/>
    </row>
    <row r="792" ht="22.5" customHeight="1">
      <c r="C792" s="181"/>
      <c r="D792" s="181"/>
      <c r="E792" s="10"/>
      <c r="F792" s="182"/>
      <c r="J792" s="183"/>
      <c r="K792" s="184"/>
    </row>
    <row r="793" ht="22.5" customHeight="1">
      <c r="C793" s="181"/>
      <c r="D793" s="181"/>
      <c r="E793" s="10"/>
      <c r="F793" s="182"/>
      <c r="J793" s="183"/>
      <c r="K793" s="184"/>
    </row>
    <row r="794" ht="22.5" customHeight="1">
      <c r="C794" s="181"/>
      <c r="D794" s="181"/>
      <c r="E794" s="10"/>
      <c r="F794" s="182"/>
      <c r="J794" s="183"/>
      <c r="K794" s="184"/>
    </row>
    <row r="795" ht="22.5" customHeight="1">
      <c r="C795" s="181"/>
      <c r="D795" s="181"/>
      <c r="E795" s="10"/>
      <c r="F795" s="182"/>
      <c r="J795" s="183"/>
      <c r="K795" s="184"/>
    </row>
    <row r="796" ht="22.5" customHeight="1">
      <c r="C796" s="181"/>
      <c r="D796" s="181"/>
      <c r="E796" s="10"/>
      <c r="F796" s="182"/>
      <c r="J796" s="183"/>
      <c r="K796" s="184"/>
    </row>
    <row r="797" ht="22.5" customHeight="1">
      <c r="C797" s="181"/>
      <c r="D797" s="181"/>
      <c r="E797" s="10"/>
      <c r="F797" s="182"/>
      <c r="J797" s="183"/>
      <c r="K797" s="184"/>
    </row>
    <row r="798" ht="22.5" customHeight="1">
      <c r="C798" s="181"/>
      <c r="D798" s="181"/>
      <c r="E798" s="10"/>
      <c r="F798" s="182"/>
      <c r="J798" s="183"/>
      <c r="K798" s="184"/>
    </row>
    <row r="799" ht="22.5" customHeight="1">
      <c r="C799" s="181"/>
      <c r="D799" s="181"/>
      <c r="E799" s="10"/>
      <c r="F799" s="182"/>
      <c r="J799" s="183"/>
      <c r="K799" s="184"/>
    </row>
    <row r="800" ht="22.5" customHeight="1">
      <c r="C800" s="181"/>
      <c r="D800" s="181"/>
      <c r="E800" s="10"/>
      <c r="F800" s="182"/>
      <c r="J800" s="183"/>
      <c r="K800" s="184"/>
    </row>
    <row r="801" ht="22.5" customHeight="1">
      <c r="C801" s="181"/>
      <c r="D801" s="181"/>
      <c r="E801" s="10"/>
      <c r="F801" s="182"/>
      <c r="J801" s="183"/>
      <c r="K801" s="184"/>
    </row>
    <row r="802" ht="22.5" customHeight="1">
      <c r="C802" s="181"/>
      <c r="D802" s="181"/>
      <c r="E802" s="10"/>
      <c r="F802" s="182"/>
      <c r="J802" s="183"/>
      <c r="K802" s="184"/>
    </row>
    <row r="803" ht="22.5" customHeight="1">
      <c r="C803" s="181"/>
      <c r="D803" s="181"/>
      <c r="E803" s="10"/>
      <c r="F803" s="182"/>
      <c r="J803" s="183"/>
      <c r="K803" s="184"/>
    </row>
    <row r="804" ht="22.5" customHeight="1">
      <c r="C804" s="181"/>
      <c r="D804" s="181"/>
      <c r="E804" s="10"/>
      <c r="F804" s="182"/>
      <c r="J804" s="183"/>
      <c r="K804" s="184"/>
    </row>
    <row r="805" ht="22.5" customHeight="1">
      <c r="C805" s="181"/>
      <c r="D805" s="181"/>
      <c r="E805" s="10"/>
      <c r="F805" s="182"/>
      <c r="J805" s="183"/>
      <c r="K805" s="184"/>
    </row>
    <row r="806" ht="22.5" customHeight="1">
      <c r="C806" s="181"/>
      <c r="D806" s="181"/>
      <c r="E806" s="10"/>
      <c r="F806" s="182"/>
      <c r="J806" s="183"/>
      <c r="K806" s="184"/>
    </row>
    <row r="807" ht="22.5" customHeight="1">
      <c r="C807" s="181"/>
      <c r="D807" s="181"/>
      <c r="E807" s="10"/>
      <c r="F807" s="182"/>
      <c r="J807" s="183"/>
      <c r="K807" s="184"/>
    </row>
    <row r="808" ht="22.5" customHeight="1">
      <c r="C808" s="181"/>
      <c r="D808" s="181"/>
      <c r="E808" s="10"/>
      <c r="F808" s="182"/>
      <c r="J808" s="183"/>
      <c r="K808" s="184"/>
    </row>
    <row r="809">
      <c r="C809" s="181"/>
      <c r="D809" s="181"/>
      <c r="E809" s="10"/>
      <c r="F809" s="182"/>
      <c r="J809" s="183"/>
      <c r="K809" s="184"/>
    </row>
    <row r="810">
      <c r="C810" s="181"/>
      <c r="D810" s="181"/>
      <c r="E810" s="10"/>
      <c r="F810" s="182"/>
      <c r="J810" s="183"/>
      <c r="K810" s="184"/>
    </row>
    <row r="811">
      <c r="C811" s="181"/>
      <c r="D811" s="181"/>
      <c r="E811" s="10"/>
      <c r="F811" s="182"/>
      <c r="J811" s="183"/>
      <c r="K811" s="184"/>
    </row>
    <row r="812">
      <c r="C812" s="181"/>
      <c r="D812" s="181"/>
      <c r="E812" s="10"/>
      <c r="F812" s="182"/>
      <c r="J812" s="183"/>
      <c r="K812" s="184"/>
    </row>
    <row r="813">
      <c r="C813" s="181"/>
      <c r="D813" s="181"/>
      <c r="E813" s="10"/>
      <c r="F813" s="182"/>
      <c r="J813" s="183"/>
      <c r="K813" s="184"/>
    </row>
    <row r="814">
      <c r="C814" s="181"/>
      <c r="D814" s="181"/>
      <c r="E814" s="10"/>
      <c r="F814" s="182"/>
      <c r="J814" s="183"/>
      <c r="K814" s="184"/>
    </row>
    <row r="815">
      <c r="C815" s="181"/>
      <c r="D815" s="181"/>
      <c r="E815" s="10"/>
      <c r="F815" s="182"/>
      <c r="J815" s="183"/>
      <c r="K815" s="184"/>
    </row>
    <row r="816">
      <c r="C816" s="181"/>
      <c r="D816" s="181"/>
      <c r="E816" s="10"/>
      <c r="F816" s="182"/>
      <c r="J816" s="183"/>
      <c r="K816" s="184"/>
    </row>
    <row r="817">
      <c r="C817" s="181"/>
      <c r="D817" s="181"/>
      <c r="E817" s="10"/>
      <c r="F817" s="182"/>
      <c r="J817" s="183"/>
      <c r="K817" s="184"/>
    </row>
    <row r="818">
      <c r="C818" s="181"/>
      <c r="D818" s="181"/>
      <c r="E818" s="10"/>
      <c r="F818" s="182"/>
      <c r="J818" s="183"/>
      <c r="K818" s="184"/>
    </row>
    <row r="819">
      <c r="C819" s="181"/>
      <c r="D819" s="181"/>
      <c r="E819" s="10"/>
      <c r="F819" s="182"/>
      <c r="J819" s="183"/>
      <c r="K819" s="184"/>
    </row>
    <row r="820">
      <c r="C820" s="181"/>
      <c r="D820" s="181"/>
      <c r="E820" s="10"/>
      <c r="F820" s="182"/>
      <c r="J820" s="183"/>
      <c r="K820" s="184"/>
    </row>
    <row r="821">
      <c r="C821" s="181"/>
      <c r="D821" s="181"/>
      <c r="E821" s="10"/>
      <c r="F821" s="182"/>
      <c r="J821" s="183"/>
      <c r="K821" s="184"/>
    </row>
    <row r="822">
      <c r="C822" s="181"/>
      <c r="D822" s="181"/>
      <c r="E822" s="10"/>
      <c r="F822" s="182"/>
      <c r="J822" s="183"/>
      <c r="K822" s="184"/>
    </row>
    <row r="823">
      <c r="C823" s="181"/>
      <c r="D823" s="181"/>
      <c r="E823" s="10"/>
      <c r="F823" s="182"/>
      <c r="J823" s="183"/>
      <c r="K823" s="184"/>
    </row>
    <row r="824">
      <c r="C824" s="181"/>
      <c r="D824" s="181"/>
      <c r="E824" s="10"/>
      <c r="F824" s="182"/>
      <c r="J824" s="183"/>
      <c r="K824" s="184"/>
    </row>
    <row r="825">
      <c r="C825" s="181"/>
      <c r="D825" s="181"/>
      <c r="E825" s="10"/>
      <c r="F825" s="182"/>
      <c r="J825" s="183"/>
      <c r="K825" s="184"/>
    </row>
    <row r="826">
      <c r="C826" s="181"/>
      <c r="D826" s="181"/>
      <c r="E826" s="10"/>
      <c r="F826" s="182"/>
      <c r="J826" s="183"/>
      <c r="K826" s="184"/>
    </row>
    <row r="827">
      <c r="C827" s="181"/>
      <c r="D827" s="181"/>
      <c r="E827" s="10"/>
      <c r="F827" s="182"/>
      <c r="J827" s="183"/>
      <c r="K827" s="184"/>
    </row>
    <row r="828">
      <c r="C828" s="181"/>
      <c r="D828" s="181"/>
      <c r="E828" s="10"/>
      <c r="F828" s="182"/>
      <c r="J828" s="183"/>
      <c r="K828" s="184"/>
    </row>
    <row r="829">
      <c r="C829" s="181"/>
      <c r="D829" s="181"/>
      <c r="E829" s="10"/>
      <c r="F829" s="182"/>
      <c r="J829" s="183"/>
      <c r="K829" s="184"/>
    </row>
    <row r="830">
      <c r="C830" s="181"/>
      <c r="D830" s="181"/>
      <c r="E830" s="10"/>
      <c r="F830" s="182"/>
      <c r="J830" s="183"/>
      <c r="K830" s="184"/>
    </row>
    <row r="831">
      <c r="C831" s="181"/>
      <c r="D831" s="181"/>
      <c r="E831" s="10"/>
      <c r="F831" s="182"/>
      <c r="J831" s="183"/>
      <c r="K831" s="184"/>
    </row>
    <row r="832">
      <c r="C832" s="181"/>
      <c r="D832" s="181"/>
      <c r="E832" s="10"/>
      <c r="F832" s="182"/>
      <c r="J832" s="183"/>
      <c r="K832" s="184"/>
    </row>
    <row r="833">
      <c r="C833" s="181"/>
      <c r="D833" s="181"/>
      <c r="E833" s="10"/>
      <c r="F833" s="182"/>
      <c r="J833" s="183"/>
      <c r="K833" s="184"/>
    </row>
    <row r="834">
      <c r="C834" s="181"/>
      <c r="D834" s="181"/>
      <c r="E834" s="10"/>
      <c r="F834" s="182"/>
      <c r="J834" s="183"/>
      <c r="K834" s="184"/>
    </row>
    <row r="835">
      <c r="C835" s="181"/>
      <c r="D835" s="181"/>
      <c r="E835" s="10"/>
      <c r="F835" s="182"/>
      <c r="J835" s="183"/>
      <c r="K835" s="184"/>
    </row>
    <row r="836">
      <c r="C836" s="181"/>
      <c r="D836" s="181"/>
      <c r="E836" s="10"/>
      <c r="F836" s="182"/>
      <c r="J836" s="183"/>
      <c r="K836" s="184"/>
    </row>
    <row r="837">
      <c r="C837" s="181"/>
      <c r="D837" s="181"/>
      <c r="E837" s="10"/>
      <c r="F837" s="182"/>
      <c r="J837" s="183"/>
      <c r="K837" s="184"/>
    </row>
    <row r="838">
      <c r="C838" s="181"/>
      <c r="D838" s="181"/>
      <c r="E838" s="10"/>
      <c r="F838" s="182"/>
      <c r="J838" s="183"/>
      <c r="K838" s="184"/>
    </row>
    <row r="839">
      <c r="C839" s="181"/>
      <c r="D839" s="181"/>
      <c r="E839" s="10"/>
      <c r="F839" s="182"/>
      <c r="J839" s="183"/>
      <c r="K839" s="184"/>
    </row>
    <row r="840">
      <c r="C840" s="181"/>
      <c r="D840" s="181"/>
      <c r="E840" s="10"/>
      <c r="F840" s="182"/>
      <c r="J840" s="183"/>
      <c r="K840" s="184"/>
    </row>
    <row r="841">
      <c r="C841" s="181"/>
      <c r="D841" s="181"/>
      <c r="E841" s="10"/>
      <c r="F841" s="182"/>
      <c r="J841" s="183"/>
      <c r="K841" s="184"/>
    </row>
    <row r="842">
      <c r="C842" s="181"/>
      <c r="D842" s="181"/>
      <c r="E842" s="10"/>
      <c r="F842" s="182"/>
      <c r="J842" s="183"/>
      <c r="K842" s="184"/>
    </row>
    <row r="843">
      <c r="C843" s="181"/>
      <c r="D843" s="181"/>
      <c r="E843" s="10"/>
      <c r="F843" s="182"/>
      <c r="J843" s="183"/>
      <c r="K843" s="184"/>
    </row>
    <row r="844">
      <c r="C844" s="181"/>
      <c r="D844" s="181"/>
      <c r="E844" s="10"/>
      <c r="F844" s="182"/>
      <c r="J844" s="183"/>
      <c r="K844" s="184"/>
    </row>
    <row r="845">
      <c r="C845" s="181"/>
      <c r="D845" s="181"/>
      <c r="E845" s="10"/>
      <c r="F845" s="182"/>
      <c r="J845" s="183"/>
      <c r="K845" s="184"/>
    </row>
    <row r="846">
      <c r="C846" s="181"/>
      <c r="D846" s="181"/>
      <c r="E846" s="10"/>
      <c r="F846" s="182"/>
      <c r="J846" s="183"/>
      <c r="K846" s="184"/>
    </row>
    <row r="847">
      <c r="C847" s="181"/>
      <c r="D847" s="181"/>
      <c r="E847" s="10"/>
      <c r="F847" s="182"/>
      <c r="J847" s="183"/>
      <c r="K847" s="184"/>
    </row>
    <row r="848">
      <c r="C848" s="181"/>
      <c r="D848" s="181"/>
      <c r="E848" s="10"/>
      <c r="F848" s="182"/>
      <c r="J848" s="183"/>
      <c r="K848" s="184"/>
    </row>
    <row r="849">
      <c r="C849" s="181"/>
      <c r="D849" s="181"/>
      <c r="E849" s="10"/>
      <c r="F849" s="182"/>
      <c r="J849" s="183"/>
      <c r="K849" s="184"/>
    </row>
    <row r="850">
      <c r="C850" s="181"/>
      <c r="D850" s="181"/>
      <c r="E850" s="10"/>
      <c r="F850" s="182"/>
      <c r="J850" s="183"/>
      <c r="K850" s="184"/>
    </row>
    <row r="851">
      <c r="C851" s="181"/>
      <c r="D851" s="181"/>
      <c r="E851" s="10"/>
      <c r="F851" s="182"/>
      <c r="J851" s="183"/>
      <c r="K851" s="184"/>
    </row>
    <row r="852">
      <c r="C852" s="181"/>
      <c r="D852" s="181"/>
      <c r="E852" s="10"/>
      <c r="F852" s="182"/>
      <c r="J852" s="183"/>
      <c r="K852" s="184"/>
    </row>
    <row r="853">
      <c r="C853" s="181"/>
      <c r="D853" s="181"/>
      <c r="E853" s="10"/>
      <c r="F853" s="182"/>
      <c r="J853" s="183"/>
      <c r="K853" s="184"/>
    </row>
    <row r="854">
      <c r="C854" s="181"/>
      <c r="D854" s="181"/>
      <c r="E854" s="10"/>
      <c r="F854" s="182"/>
      <c r="J854" s="183"/>
      <c r="K854" s="184"/>
    </row>
    <row r="855">
      <c r="C855" s="181"/>
      <c r="D855" s="181"/>
      <c r="E855" s="10"/>
      <c r="F855" s="182"/>
      <c r="J855" s="183"/>
      <c r="K855" s="184"/>
    </row>
    <row r="856">
      <c r="C856" s="181"/>
      <c r="D856" s="181"/>
      <c r="E856" s="10"/>
      <c r="F856" s="182"/>
      <c r="J856" s="183"/>
      <c r="K856" s="184"/>
    </row>
    <row r="857">
      <c r="C857" s="181"/>
      <c r="D857" s="181"/>
      <c r="E857" s="10"/>
      <c r="F857" s="182"/>
      <c r="J857" s="183"/>
      <c r="K857" s="184"/>
    </row>
    <row r="858">
      <c r="C858" s="181"/>
      <c r="D858" s="181"/>
      <c r="E858" s="10"/>
      <c r="F858" s="182"/>
      <c r="J858" s="183"/>
      <c r="K858" s="184"/>
    </row>
    <row r="859">
      <c r="C859" s="181"/>
      <c r="D859" s="181"/>
      <c r="E859" s="10"/>
      <c r="F859" s="182"/>
      <c r="J859" s="183"/>
      <c r="K859" s="184"/>
    </row>
    <row r="860">
      <c r="C860" s="181"/>
      <c r="D860" s="181"/>
      <c r="E860" s="10"/>
      <c r="F860" s="182"/>
      <c r="J860" s="183"/>
      <c r="K860" s="184"/>
    </row>
    <row r="861">
      <c r="C861" s="181"/>
      <c r="D861" s="181"/>
      <c r="E861" s="10"/>
      <c r="F861" s="182"/>
      <c r="J861" s="183"/>
      <c r="K861" s="184"/>
    </row>
    <row r="862">
      <c r="C862" s="181"/>
      <c r="D862" s="181"/>
      <c r="E862" s="10"/>
      <c r="F862" s="182"/>
      <c r="J862" s="183"/>
      <c r="K862" s="184"/>
    </row>
    <row r="863">
      <c r="C863" s="181"/>
      <c r="D863" s="181"/>
      <c r="E863" s="10"/>
      <c r="F863" s="182"/>
      <c r="J863" s="183"/>
      <c r="K863" s="184"/>
    </row>
    <row r="864">
      <c r="C864" s="181"/>
      <c r="D864" s="181"/>
      <c r="E864" s="10"/>
      <c r="F864" s="182"/>
      <c r="J864" s="183"/>
      <c r="K864" s="184"/>
    </row>
    <row r="865">
      <c r="C865" s="181"/>
      <c r="D865" s="181"/>
      <c r="E865" s="10"/>
      <c r="F865" s="182"/>
      <c r="J865" s="183"/>
      <c r="K865" s="184"/>
    </row>
    <row r="866">
      <c r="C866" s="181"/>
      <c r="D866" s="181"/>
      <c r="E866" s="10"/>
      <c r="F866" s="182"/>
      <c r="J866" s="183"/>
      <c r="K866" s="184"/>
    </row>
    <row r="867">
      <c r="C867" s="181"/>
      <c r="D867" s="181"/>
      <c r="E867" s="10"/>
      <c r="F867" s="182"/>
      <c r="J867" s="183"/>
      <c r="K867" s="184"/>
    </row>
    <row r="868">
      <c r="C868" s="181"/>
      <c r="D868" s="181"/>
      <c r="E868" s="10"/>
      <c r="F868" s="182"/>
      <c r="J868" s="183"/>
      <c r="K868" s="184"/>
    </row>
    <row r="869">
      <c r="C869" s="181"/>
      <c r="D869" s="181"/>
      <c r="E869" s="10"/>
      <c r="F869" s="182"/>
      <c r="J869" s="183"/>
      <c r="K869" s="184"/>
    </row>
    <row r="870">
      <c r="C870" s="181"/>
      <c r="D870" s="181"/>
      <c r="E870" s="10"/>
      <c r="F870" s="182"/>
      <c r="J870" s="183"/>
      <c r="K870" s="184"/>
    </row>
    <row r="871">
      <c r="C871" s="181"/>
      <c r="D871" s="181"/>
      <c r="E871" s="10"/>
      <c r="F871" s="182"/>
      <c r="J871" s="183"/>
      <c r="K871" s="184"/>
    </row>
    <row r="872">
      <c r="C872" s="181"/>
      <c r="D872" s="181"/>
      <c r="E872" s="10"/>
      <c r="F872" s="182"/>
      <c r="J872" s="183"/>
      <c r="K872" s="184"/>
    </row>
    <row r="873">
      <c r="C873" s="181"/>
      <c r="D873" s="181"/>
      <c r="E873" s="10"/>
      <c r="F873" s="182"/>
      <c r="J873" s="183"/>
      <c r="K873" s="184"/>
    </row>
    <row r="874">
      <c r="C874" s="181"/>
      <c r="D874" s="181"/>
      <c r="E874" s="10"/>
      <c r="F874" s="182"/>
      <c r="J874" s="183"/>
      <c r="K874" s="184"/>
    </row>
    <row r="875">
      <c r="C875" s="181"/>
      <c r="D875" s="181"/>
      <c r="E875" s="10"/>
      <c r="F875" s="182"/>
      <c r="J875" s="183"/>
      <c r="K875" s="184"/>
    </row>
    <row r="876">
      <c r="C876" s="181"/>
      <c r="D876" s="181"/>
      <c r="E876" s="10"/>
      <c r="F876" s="182"/>
      <c r="J876" s="183"/>
      <c r="K876" s="184"/>
    </row>
    <row r="877">
      <c r="C877" s="181"/>
      <c r="D877" s="181"/>
      <c r="E877" s="10"/>
      <c r="F877" s="182"/>
      <c r="J877" s="183"/>
      <c r="K877" s="184"/>
    </row>
    <row r="878">
      <c r="C878" s="181"/>
      <c r="D878" s="181"/>
      <c r="E878" s="10"/>
      <c r="F878" s="182"/>
      <c r="J878" s="183"/>
      <c r="K878" s="184"/>
    </row>
    <row r="879">
      <c r="C879" s="181"/>
      <c r="D879" s="181"/>
      <c r="E879" s="10"/>
      <c r="F879" s="182"/>
      <c r="J879" s="183"/>
      <c r="K879" s="184"/>
    </row>
    <row r="880">
      <c r="C880" s="181"/>
      <c r="D880" s="181"/>
      <c r="E880" s="10"/>
      <c r="F880" s="182"/>
      <c r="J880" s="183"/>
      <c r="K880" s="184"/>
    </row>
    <row r="881">
      <c r="C881" s="181"/>
      <c r="D881" s="181"/>
      <c r="E881" s="10"/>
      <c r="F881" s="182"/>
      <c r="J881" s="183"/>
      <c r="K881" s="184"/>
    </row>
    <row r="882">
      <c r="C882" s="181"/>
      <c r="D882" s="181"/>
      <c r="E882" s="10"/>
      <c r="F882" s="182"/>
      <c r="J882" s="183"/>
      <c r="K882" s="184"/>
    </row>
    <row r="883">
      <c r="C883" s="181"/>
      <c r="D883" s="181"/>
      <c r="E883" s="10"/>
      <c r="F883" s="182"/>
      <c r="J883" s="183"/>
      <c r="K883" s="184"/>
    </row>
    <row r="884">
      <c r="C884" s="181"/>
      <c r="D884" s="181"/>
      <c r="E884" s="10"/>
      <c r="F884" s="182"/>
      <c r="J884" s="183"/>
      <c r="K884" s="184"/>
    </row>
    <row r="885">
      <c r="C885" s="181"/>
      <c r="D885" s="181"/>
      <c r="E885" s="10"/>
      <c r="F885" s="182"/>
      <c r="J885" s="183"/>
      <c r="K885" s="184"/>
    </row>
    <row r="886">
      <c r="C886" s="181"/>
      <c r="D886" s="181"/>
      <c r="E886" s="10"/>
      <c r="F886" s="182"/>
      <c r="J886" s="183"/>
      <c r="K886" s="184"/>
    </row>
    <row r="887">
      <c r="C887" s="181"/>
      <c r="D887" s="181"/>
      <c r="E887" s="10"/>
      <c r="F887" s="182"/>
      <c r="J887" s="183"/>
      <c r="K887" s="184"/>
    </row>
    <row r="888">
      <c r="C888" s="181"/>
      <c r="D888" s="181"/>
      <c r="E888" s="10"/>
      <c r="F888" s="182"/>
      <c r="J888" s="183"/>
      <c r="K888" s="184"/>
    </row>
    <row r="889">
      <c r="C889" s="181"/>
      <c r="D889" s="181"/>
      <c r="E889" s="10"/>
      <c r="F889" s="182"/>
      <c r="J889" s="183"/>
      <c r="K889" s="184"/>
    </row>
    <row r="890">
      <c r="C890" s="181"/>
      <c r="D890" s="181"/>
      <c r="E890" s="10"/>
      <c r="F890" s="182"/>
      <c r="J890" s="183"/>
      <c r="K890" s="184"/>
    </row>
    <row r="891">
      <c r="C891" s="181"/>
      <c r="D891" s="181"/>
      <c r="E891" s="10"/>
      <c r="F891" s="182"/>
      <c r="J891" s="183"/>
      <c r="K891" s="184"/>
    </row>
    <row r="892">
      <c r="C892" s="181"/>
      <c r="D892" s="181"/>
      <c r="E892" s="10"/>
      <c r="F892" s="182"/>
      <c r="J892" s="183"/>
      <c r="K892" s="184"/>
    </row>
    <row r="893">
      <c r="C893" s="181"/>
      <c r="D893" s="181"/>
      <c r="E893" s="10"/>
      <c r="F893" s="182"/>
      <c r="J893" s="183"/>
      <c r="K893" s="184"/>
    </row>
    <row r="894">
      <c r="C894" s="181"/>
      <c r="D894" s="181"/>
      <c r="E894" s="10"/>
      <c r="F894" s="182"/>
      <c r="J894" s="183"/>
      <c r="K894" s="184"/>
    </row>
    <row r="895">
      <c r="C895" s="181"/>
      <c r="D895" s="181"/>
      <c r="E895" s="10"/>
      <c r="F895" s="182"/>
      <c r="J895" s="183"/>
      <c r="K895" s="184"/>
    </row>
    <row r="896">
      <c r="C896" s="181"/>
      <c r="D896" s="181"/>
      <c r="E896" s="10"/>
      <c r="F896" s="182"/>
      <c r="J896" s="183"/>
      <c r="K896" s="184"/>
    </row>
    <row r="897">
      <c r="C897" s="181"/>
      <c r="D897" s="181"/>
      <c r="E897" s="10"/>
      <c r="F897" s="182"/>
      <c r="J897" s="183"/>
      <c r="K897" s="184"/>
    </row>
    <row r="898">
      <c r="C898" s="181"/>
      <c r="D898" s="181"/>
      <c r="E898" s="10"/>
      <c r="F898" s="182"/>
      <c r="J898" s="183"/>
      <c r="K898" s="184"/>
    </row>
    <row r="899">
      <c r="C899" s="181"/>
      <c r="D899" s="181"/>
      <c r="E899" s="10"/>
      <c r="F899" s="182"/>
      <c r="J899" s="183"/>
      <c r="K899" s="184"/>
    </row>
    <row r="900">
      <c r="C900" s="181"/>
      <c r="D900" s="181"/>
      <c r="E900" s="10"/>
      <c r="F900" s="182"/>
      <c r="J900" s="183"/>
      <c r="K900" s="184"/>
    </row>
    <row r="901">
      <c r="C901" s="181"/>
      <c r="D901" s="181"/>
      <c r="E901" s="10"/>
      <c r="F901" s="182"/>
      <c r="J901" s="183"/>
      <c r="K901" s="184"/>
    </row>
    <row r="902">
      <c r="C902" s="181"/>
      <c r="D902" s="181"/>
      <c r="E902" s="10"/>
      <c r="F902" s="182"/>
      <c r="J902" s="183"/>
      <c r="K902" s="184"/>
    </row>
    <row r="903">
      <c r="C903" s="181"/>
      <c r="D903" s="181"/>
      <c r="E903" s="10"/>
      <c r="F903" s="182"/>
      <c r="J903" s="183"/>
      <c r="K903" s="184"/>
    </row>
    <row r="904">
      <c r="C904" s="181"/>
      <c r="D904" s="181"/>
      <c r="E904" s="10"/>
      <c r="F904" s="182"/>
      <c r="J904" s="183"/>
      <c r="K904" s="184"/>
    </row>
    <row r="905">
      <c r="C905" s="181"/>
      <c r="D905" s="181"/>
      <c r="E905" s="10"/>
      <c r="F905" s="182"/>
      <c r="J905" s="183"/>
      <c r="K905" s="184"/>
    </row>
    <row r="906">
      <c r="C906" s="181"/>
      <c r="D906" s="181"/>
      <c r="E906" s="10"/>
      <c r="F906" s="182"/>
      <c r="J906" s="183"/>
      <c r="K906" s="184"/>
    </row>
    <row r="907">
      <c r="C907" s="181"/>
      <c r="D907" s="181"/>
      <c r="E907" s="10"/>
      <c r="F907" s="182"/>
      <c r="J907" s="183"/>
      <c r="K907" s="184"/>
    </row>
    <row r="908">
      <c r="C908" s="181"/>
      <c r="D908" s="181"/>
      <c r="E908" s="10"/>
      <c r="F908" s="182"/>
      <c r="J908" s="183"/>
      <c r="K908" s="184"/>
    </row>
    <row r="909">
      <c r="C909" s="181"/>
      <c r="D909" s="181"/>
      <c r="E909" s="10"/>
      <c r="F909" s="182"/>
      <c r="J909" s="183"/>
      <c r="K909" s="184"/>
    </row>
    <row r="910">
      <c r="C910" s="181"/>
      <c r="D910" s="181"/>
      <c r="E910" s="10"/>
      <c r="F910" s="182"/>
      <c r="J910" s="183"/>
      <c r="K910" s="184"/>
    </row>
    <row r="911">
      <c r="C911" s="181"/>
      <c r="D911" s="181"/>
      <c r="E911" s="10"/>
      <c r="F911" s="182"/>
      <c r="J911" s="183"/>
      <c r="K911" s="184"/>
    </row>
    <row r="912">
      <c r="C912" s="181"/>
      <c r="D912" s="181"/>
      <c r="E912" s="10"/>
      <c r="F912" s="182"/>
      <c r="J912" s="183"/>
      <c r="K912" s="184"/>
    </row>
    <row r="913">
      <c r="C913" s="181"/>
      <c r="D913" s="181"/>
      <c r="E913" s="10"/>
      <c r="F913" s="182"/>
      <c r="J913" s="183"/>
      <c r="K913" s="184"/>
    </row>
    <row r="914">
      <c r="C914" s="181"/>
      <c r="D914" s="181"/>
      <c r="E914" s="10"/>
      <c r="F914" s="182"/>
      <c r="J914" s="183"/>
      <c r="K914" s="184"/>
    </row>
    <row r="915">
      <c r="C915" s="181"/>
      <c r="D915" s="181"/>
      <c r="E915" s="10"/>
      <c r="F915" s="182"/>
      <c r="J915" s="183"/>
      <c r="K915" s="184"/>
    </row>
    <row r="916">
      <c r="C916" s="181"/>
      <c r="D916" s="181"/>
      <c r="E916" s="10"/>
      <c r="F916" s="182"/>
      <c r="J916" s="183"/>
      <c r="K916" s="184"/>
    </row>
    <row r="917">
      <c r="C917" s="181"/>
      <c r="D917" s="181"/>
      <c r="E917" s="10"/>
      <c r="F917" s="182"/>
      <c r="J917" s="183"/>
      <c r="K917" s="184"/>
    </row>
    <row r="918">
      <c r="C918" s="181"/>
      <c r="D918" s="181"/>
      <c r="E918" s="10"/>
      <c r="F918" s="182"/>
      <c r="J918" s="183"/>
      <c r="K918" s="184"/>
    </row>
    <row r="919">
      <c r="C919" s="181"/>
      <c r="D919" s="181"/>
      <c r="E919" s="10"/>
      <c r="F919" s="182"/>
      <c r="J919" s="183"/>
      <c r="K919" s="184"/>
    </row>
    <row r="920">
      <c r="C920" s="181"/>
      <c r="D920" s="181"/>
      <c r="E920" s="10"/>
      <c r="F920" s="182"/>
      <c r="J920" s="183"/>
      <c r="K920" s="184"/>
    </row>
    <row r="921">
      <c r="C921" s="181"/>
      <c r="D921" s="181"/>
      <c r="E921" s="10"/>
      <c r="F921" s="182"/>
      <c r="J921" s="183"/>
      <c r="K921" s="184"/>
    </row>
    <row r="922">
      <c r="C922" s="181"/>
      <c r="D922" s="181"/>
      <c r="E922" s="10"/>
      <c r="F922" s="182"/>
      <c r="J922" s="183"/>
      <c r="K922" s="184"/>
    </row>
    <row r="923">
      <c r="C923" s="181"/>
      <c r="D923" s="181"/>
      <c r="E923" s="10"/>
      <c r="F923" s="182"/>
      <c r="J923" s="183"/>
      <c r="K923" s="184"/>
    </row>
    <row r="924">
      <c r="C924" s="181"/>
      <c r="D924" s="181"/>
      <c r="E924" s="10"/>
      <c r="F924" s="182"/>
      <c r="J924" s="183"/>
      <c r="K924" s="184"/>
    </row>
    <row r="925">
      <c r="C925" s="181"/>
      <c r="D925" s="181"/>
      <c r="E925" s="10"/>
      <c r="F925" s="182"/>
      <c r="J925" s="183"/>
      <c r="K925" s="184"/>
    </row>
    <row r="926">
      <c r="C926" s="181"/>
      <c r="D926" s="181"/>
      <c r="E926" s="10"/>
      <c r="F926" s="182"/>
      <c r="J926" s="183"/>
      <c r="K926" s="184"/>
    </row>
    <row r="927">
      <c r="C927" s="181"/>
      <c r="D927" s="181"/>
      <c r="E927" s="10"/>
      <c r="F927" s="182"/>
      <c r="J927" s="183"/>
      <c r="K927" s="184"/>
    </row>
    <row r="928">
      <c r="C928" s="181"/>
      <c r="D928" s="181"/>
      <c r="E928" s="10"/>
      <c r="F928" s="182"/>
      <c r="J928" s="183"/>
      <c r="K928" s="184"/>
    </row>
    <row r="929">
      <c r="C929" s="181"/>
      <c r="D929" s="181"/>
      <c r="E929" s="10"/>
      <c r="F929" s="182"/>
      <c r="J929" s="183"/>
      <c r="K929" s="184"/>
    </row>
    <row r="930">
      <c r="C930" s="181"/>
      <c r="D930" s="181"/>
      <c r="E930" s="10"/>
      <c r="F930" s="182"/>
      <c r="J930" s="183"/>
      <c r="K930" s="184"/>
    </row>
    <row r="931">
      <c r="C931" s="181"/>
      <c r="D931" s="181"/>
      <c r="E931" s="10"/>
      <c r="F931" s="182"/>
      <c r="J931" s="183"/>
      <c r="K931" s="184"/>
    </row>
    <row r="932">
      <c r="C932" s="181"/>
      <c r="D932" s="181"/>
      <c r="E932" s="10"/>
      <c r="F932" s="182"/>
      <c r="J932" s="183"/>
      <c r="K932" s="184"/>
    </row>
    <row r="933">
      <c r="C933" s="181"/>
      <c r="D933" s="181"/>
      <c r="E933" s="10"/>
      <c r="F933" s="182"/>
      <c r="J933" s="183"/>
      <c r="K933" s="184"/>
    </row>
    <row r="934">
      <c r="C934" s="181"/>
      <c r="D934" s="181"/>
      <c r="E934" s="10"/>
      <c r="F934" s="182"/>
      <c r="J934" s="183"/>
      <c r="K934" s="184"/>
    </row>
    <row r="935">
      <c r="C935" s="181"/>
      <c r="D935" s="181"/>
      <c r="E935" s="10"/>
      <c r="F935" s="182"/>
      <c r="J935" s="183"/>
      <c r="K935" s="184"/>
    </row>
    <row r="936">
      <c r="C936" s="181"/>
      <c r="D936" s="181"/>
      <c r="E936" s="10"/>
      <c r="F936" s="182"/>
      <c r="J936" s="183"/>
      <c r="K936" s="184"/>
    </row>
    <row r="937">
      <c r="C937" s="181"/>
      <c r="D937" s="181"/>
      <c r="E937" s="10"/>
      <c r="F937" s="182"/>
      <c r="J937" s="183"/>
      <c r="K937" s="184"/>
    </row>
    <row r="938">
      <c r="C938" s="181"/>
      <c r="D938" s="181"/>
      <c r="E938" s="10"/>
      <c r="F938" s="182"/>
      <c r="J938" s="183"/>
      <c r="K938" s="184"/>
    </row>
    <row r="939">
      <c r="C939" s="181"/>
      <c r="D939" s="181"/>
      <c r="E939" s="10"/>
      <c r="F939" s="182"/>
      <c r="J939" s="183"/>
      <c r="K939" s="184"/>
    </row>
    <row r="940">
      <c r="C940" s="181"/>
      <c r="D940" s="181"/>
      <c r="E940" s="10"/>
      <c r="F940" s="182"/>
      <c r="J940" s="183"/>
      <c r="K940" s="184"/>
    </row>
    <row r="941">
      <c r="C941" s="181"/>
      <c r="D941" s="181"/>
      <c r="E941" s="10"/>
      <c r="F941" s="182"/>
      <c r="J941" s="183"/>
      <c r="K941" s="184"/>
    </row>
    <row r="942">
      <c r="C942" s="181"/>
      <c r="D942" s="181"/>
      <c r="E942" s="10"/>
      <c r="F942" s="182"/>
      <c r="J942" s="183"/>
      <c r="K942" s="184"/>
    </row>
    <row r="943">
      <c r="C943" s="181"/>
      <c r="D943" s="181"/>
      <c r="E943" s="10"/>
      <c r="F943" s="182"/>
      <c r="J943" s="183"/>
      <c r="K943" s="184"/>
    </row>
    <row r="944">
      <c r="C944" s="181"/>
      <c r="D944" s="181"/>
      <c r="E944" s="10"/>
      <c r="F944" s="182"/>
      <c r="J944" s="183"/>
      <c r="K944" s="184"/>
    </row>
    <row r="945">
      <c r="C945" s="181"/>
      <c r="D945" s="181"/>
      <c r="E945" s="10"/>
      <c r="F945" s="182"/>
      <c r="J945" s="183"/>
      <c r="K945" s="184"/>
    </row>
    <row r="946">
      <c r="C946" s="181"/>
      <c r="D946" s="181"/>
      <c r="E946" s="10"/>
      <c r="F946" s="182"/>
      <c r="J946" s="183"/>
      <c r="K946" s="184"/>
    </row>
    <row r="947">
      <c r="C947" s="181"/>
      <c r="D947" s="181"/>
      <c r="E947" s="10"/>
      <c r="F947" s="182"/>
      <c r="J947" s="183"/>
      <c r="K947" s="184"/>
    </row>
    <row r="948">
      <c r="C948" s="181"/>
      <c r="D948" s="181"/>
      <c r="E948" s="10"/>
      <c r="F948" s="182"/>
      <c r="J948" s="183"/>
      <c r="K948" s="184"/>
    </row>
    <row r="949">
      <c r="C949" s="181"/>
      <c r="D949" s="181"/>
      <c r="E949" s="10"/>
      <c r="F949" s="182"/>
      <c r="J949" s="183"/>
      <c r="K949" s="184"/>
    </row>
    <row r="950">
      <c r="C950" s="181"/>
      <c r="D950" s="181"/>
      <c r="E950" s="10"/>
      <c r="F950" s="182"/>
      <c r="J950" s="183"/>
      <c r="K950" s="184"/>
    </row>
    <row r="951">
      <c r="C951" s="181"/>
      <c r="D951" s="181"/>
      <c r="E951" s="10"/>
      <c r="F951" s="182"/>
      <c r="J951" s="183"/>
      <c r="K951" s="184"/>
    </row>
    <row r="952">
      <c r="C952" s="181"/>
      <c r="D952" s="181"/>
      <c r="E952" s="10"/>
      <c r="F952" s="182"/>
      <c r="J952" s="183"/>
      <c r="K952" s="184"/>
    </row>
    <row r="953">
      <c r="C953" s="181"/>
      <c r="D953" s="181"/>
      <c r="E953" s="10"/>
      <c r="F953" s="182"/>
      <c r="J953" s="183"/>
      <c r="K953" s="184"/>
    </row>
    <row r="954">
      <c r="C954" s="181"/>
      <c r="D954" s="181"/>
      <c r="E954" s="10"/>
      <c r="F954" s="182"/>
      <c r="J954" s="183"/>
      <c r="K954" s="184"/>
    </row>
    <row r="955">
      <c r="C955" s="181"/>
      <c r="D955" s="181"/>
      <c r="E955" s="10"/>
      <c r="F955" s="182"/>
      <c r="J955" s="183"/>
      <c r="K955" s="184"/>
    </row>
    <row r="956">
      <c r="C956" s="181"/>
      <c r="D956" s="181"/>
      <c r="E956" s="10"/>
      <c r="F956" s="182"/>
      <c r="J956" s="183"/>
      <c r="K956" s="184"/>
    </row>
    <row r="957">
      <c r="C957" s="181"/>
      <c r="D957" s="181"/>
      <c r="E957" s="10"/>
      <c r="F957" s="182"/>
      <c r="J957" s="183"/>
      <c r="K957" s="184"/>
    </row>
    <row r="958">
      <c r="C958" s="181"/>
      <c r="D958" s="181"/>
      <c r="E958" s="10"/>
      <c r="F958" s="182"/>
      <c r="J958" s="183"/>
      <c r="K958" s="184"/>
    </row>
    <row r="959">
      <c r="C959" s="181"/>
      <c r="D959" s="181"/>
      <c r="E959" s="10"/>
      <c r="F959" s="182"/>
      <c r="J959" s="183"/>
      <c r="K959" s="184"/>
    </row>
    <row r="960">
      <c r="C960" s="181"/>
      <c r="D960" s="181"/>
      <c r="E960" s="10"/>
      <c r="F960" s="182"/>
      <c r="J960" s="183"/>
      <c r="K960" s="184"/>
    </row>
    <row r="961">
      <c r="C961" s="181"/>
      <c r="D961" s="181"/>
      <c r="E961" s="10"/>
      <c r="F961" s="182"/>
      <c r="J961" s="183"/>
      <c r="K961" s="184"/>
    </row>
    <row r="962">
      <c r="C962" s="181"/>
      <c r="D962" s="181"/>
      <c r="E962" s="10"/>
      <c r="F962" s="182"/>
      <c r="J962" s="183"/>
      <c r="K962" s="184"/>
    </row>
    <row r="963">
      <c r="C963" s="181"/>
      <c r="D963" s="181"/>
      <c r="E963" s="10"/>
      <c r="F963" s="182"/>
      <c r="J963" s="183"/>
      <c r="K963" s="184"/>
    </row>
    <row r="964">
      <c r="C964" s="181"/>
      <c r="D964" s="181"/>
      <c r="E964" s="10"/>
      <c r="F964" s="182"/>
      <c r="J964" s="183"/>
      <c r="K964" s="184"/>
    </row>
    <row r="965">
      <c r="C965" s="181"/>
      <c r="D965" s="181"/>
      <c r="E965" s="10"/>
      <c r="F965" s="182"/>
      <c r="J965" s="183"/>
      <c r="K965" s="184"/>
    </row>
    <row r="966">
      <c r="C966" s="181"/>
      <c r="D966" s="181"/>
      <c r="E966" s="10"/>
      <c r="F966" s="182"/>
      <c r="J966" s="183"/>
      <c r="K966" s="184"/>
    </row>
    <row r="967">
      <c r="C967" s="181"/>
      <c r="D967" s="181"/>
      <c r="E967" s="10"/>
      <c r="F967" s="182"/>
      <c r="J967" s="183"/>
      <c r="K967" s="184"/>
    </row>
    <row r="968">
      <c r="C968" s="181"/>
      <c r="D968" s="181"/>
      <c r="E968" s="10"/>
      <c r="F968" s="182"/>
      <c r="J968" s="183"/>
      <c r="K968" s="184"/>
    </row>
    <row r="969">
      <c r="C969" s="181"/>
      <c r="D969" s="181"/>
      <c r="E969" s="10"/>
      <c r="F969" s="182"/>
      <c r="J969" s="183"/>
      <c r="K969" s="184"/>
    </row>
    <row r="970">
      <c r="C970" s="181"/>
      <c r="D970" s="181"/>
      <c r="E970" s="10"/>
      <c r="F970" s="182"/>
      <c r="J970" s="183"/>
      <c r="K970" s="184"/>
    </row>
    <row r="971">
      <c r="C971" s="181"/>
      <c r="D971" s="181"/>
      <c r="E971" s="10"/>
      <c r="F971" s="182"/>
      <c r="J971" s="183"/>
      <c r="K971" s="184"/>
    </row>
    <row r="972">
      <c r="C972" s="181"/>
      <c r="D972" s="181"/>
      <c r="E972" s="10"/>
      <c r="F972" s="182"/>
      <c r="J972" s="183"/>
      <c r="K972" s="184"/>
    </row>
    <row r="973">
      <c r="C973" s="181"/>
      <c r="D973" s="181"/>
      <c r="E973" s="10"/>
      <c r="F973" s="182"/>
      <c r="J973" s="183"/>
      <c r="K973" s="184"/>
    </row>
    <row r="974">
      <c r="C974" s="181"/>
      <c r="D974" s="181"/>
      <c r="E974" s="10"/>
      <c r="F974" s="182"/>
      <c r="J974" s="183"/>
      <c r="K974" s="184"/>
    </row>
    <row r="975">
      <c r="C975" s="181"/>
      <c r="D975" s="181"/>
      <c r="E975" s="10"/>
      <c r="F975" s="182"/>
      <c r="J975" s="183"/>
      <c r="K975" s="184"/>
    </row>
    <row r="976">
      <c r="C976" s="181"/>
      <c r="D976" s="181"/>
      <c r="E976" s="10"/>
      <c r="F976" s="182"/>
      <c r="J976" s="183"/>
      <c r="K976" s="184"/>
    </row>
    <row r="977">
      <c r="C977" s="181"/>
      <c r="D977" s="181"/>
      <c r="E977" s="10"/>
      <c r="F977" s="182"/>
      <c r="J977" s="183"/>
      <c r="K977" s="184"/>
    </row>
    <row r="978">
      <c r="C978" s="181"/>
      <c r="D978" s="181"/>
      <c r="E978" s="10"/>
      <c r="F978" s="182"/>
      <c r="J978" s="183"/>
      <c r="K978" s="184"/>
    </row>
    <row r="979">
      <c r="C979" s="181"/>
      <c r="D979" s="181"/>
      <c r="E979" s="10"/>
      <c r="F979" s="182"/>
      <c r="J979" s="183"/>
      <c r="K979" s="184"/>
    </row>
    <row r="980">
      <c r="C980" s="181"/>
      <c r="D980" s="181"/>
      <c r="E980" s="10"/>
      <c r="F980" s="182"/>
      <c r="J980" s="183"/>
      <c r="K980" s="184"/>
    </row>
    <row r="981">
      <c r="C981" s="181"/>
      <c r="D981" s="181"/>
      <c r="E981" s="10"/>
      <c r="F981" s="182"/>
      <c r="J981" s="183"/>
      <c r="K981" s="184"/>
    </row>
    <row r="982">
      <c r="C982" s="181"/>
      <c r="D982" s="181"/>
      <c r="E982" s="10"/>
      <c r="F982" s="182"/>
      <c r="J982" s="183"/>
      <c r="K982" s="184"/>
    </row>
    <row r="983">
      <c r="C983" s="181"/>
      <c r="D983" s="181"/>
      <c r="E983" s="10"/>
      <c r="F983" s="182"/>
      <c r="J983" s="183"/>
      <c r="K983" s="184"/>
    </row>
    <row r="984">
      <c r="C984" s="181"/>
      <c r="D984" s="181"/>
      <c r="E984" s="10"/>
      <c r="F984" s="182"/>
      <c r="J984" s="183"/>
      <c r="K984" s="184"/>
    </row>
    <row r="985">
      <c r="C985" s="181"/>
      <c r="D985" s="181"/>
      <c r="E985" s="10"/>
      <c r="F985" s="182"/>
      <c r="J985" s="183"/>
      <c r="K985" s="184"/>
    </row>
    <row r="986">
      <c r="C986" s="181"/>
      <c r="D986" s="181"/>
      <c r="E986" s="10"/>
      <c r="F986" s="182"/>
      <c r="J986" s="183"/>
      <c r="K986" s="184"/>
    </row>
    <row r="987">
      <c r="C987" s="181"/>
      <c r="D987" s="181"/>
      <c r="E987" s="10"/>
      <c r="F987" s="182"/>
      <c r="J987" s="183"/>
      <c r="K987" s="184"/>
    </row>
    <row r="988">
      <c r="C988" s="181"/>
      <c r="D988" s="181"/>
      <c r="E988" s="10"/>
      <c r="F988" s="182"/>
      <c r="J988" s="183"/>
      <c r="K988" s="184"/>
    </row>
    <row r="989">
      <c r="C989" s="181"/>
      <c r="D989" s="181"/>
      <c r="E989" s="10"/>
      <c r="F989" s="182"/>
      <c r="J989" s="183"/>
      <c r="K989" s="184"/>
    </row>
    <row r="990">
      <c r="C990" s="181"/>
      <c r="D990" s="181"/>
      <c r="E990" s="10"/>
      <c r="F990" s="182"/>
      <c r="J990" s="183"/>
      <c r="K990" s="184"/>
    </row>
    <row r="991">
      <c r="C991" s="181"/>
      <c r="D991" s="181"/>
      <c r="E991" s="10"/>
      <c r="F991" s="182"/>
      <c r="J991" s="183"/>
      <c r="K991" s="184"/>
    </row>
    <row r="992">
      <c r="C992" s="181"/>
      <c r="D992" s="181"/>
      <c r="E992" s="10"/>
      <c r="F992" s="182"/>
      <c r="J992" s="183"/>
      <c r="K992" s="184"/>
    </row>
    <row r="993">
      <c r="C993" s="181"/>
      <c r="D993" s="181"/>
      <c r="E993" s="10"/>
      <c r="F993" s="182"/>
      <c r="J993" s="183"/>
      <c r="K993" s="184"/>
    </row>
    <row r="994">
      <c r="C994" s="181"/>
      <c r="D994" s="181"/>
      <c r="E994" s="10"/>
      <c r="F994" s="182"/>
      <c r="J994" s="183"/>
      <c r="K994" s="184"/>
    </row>
    <row r="995">
      <c r="C995" s="181"/>
      <c r="D995" s="181"/>
      <c r="E995" s="10"/>
      <c r="F995" s="182"/>
      <c r="J995" s="183"/>
      <c r="K995" s="184"/>
    </row>
    <row r="996">
      <c r="C996" s="181"/>
      <c r="D996" s="181"/>
      <c r="E996" s="10"/>
      <c r="F996" s="182"/>
      <c r="J996" s="183"/>
      <c r="K996" s="184"/>
    </row>
    <row r="997">
      <c r="C997" s="181"/>
      <c r="D997" s="181"/>
      <c r="E997" s="10"/>
      <c r="F997" s="182"/>
      <c r="J997" s="183"/>
      <c r="K997" s="184"/>
    </row>
    <row r="998">
      <c r="C998" s="181"/>
      <c r="D998" s="181"/>
      <c r="E998" s="10"/>
      <c r="F998" s="182"/>
      <c r="J998" s="183"/>
      <c r="K998" s="184"/>
    </row>
    <row r="999">
      <c r="C999" s="181"/>
      <c r="D999" s="181"/>
      <c r="E999" s="10"/>
      <c r="F999" s="182"/>
      <c r="J999" s="183"/>
      <c r="K999" s="184"/>
    </row>
    <row r="1000">
      <c r="C1000" s="181"/>
      <c r="D1000" s="181"/>
      <c r="E1000" s="10"/>
      <c r="F1000" s="182"/>
      <c r="J1000" s="183"/>
      <c r="K1000" s="184"/>
    </row>
    <row r="1001">
      <c r="C1001" s="181"/>
      <c r="D1001" s="181"/>
      <c r="E1001" s="10"/>
      <c r="F1001" s="182"/>
      <c r="J1001" s="183"/>
      <c r="K1001" s="184"/>
    </row>
    <row r="1002">
      <c r="C1002" s="181"/>
      <c r="D1002" s="181"/>
      <c r="E1002" s="10"/>
      <c r="F1002" s="182"/>
      <c r="J1002" s="183"/>
      <c r="K1002" s="184"/>
    </row>
    <row r="1003">
      <c r="C1003" s="181"/>
      <c r="D1003" s="181"/>
      <c r="E1003" s="10"/>
      <c r="F1003" s="182"/>
      <c r="J1003" s="183"/>
      <c r="K1003" s="184"/>
    </row>
    <row r="1004">
      <c r="C1004" s="181"/>
      <c r="D1004" s="181"/>
      <c r="E1004" s="10"/>
      <c r="F1004" s="182"/>
      <c r="J1004" s="183"/>
      <c r="K1004" s="184"/>
    </row>
    <row r="1005">
      <c r="C1005" s="181"/>
      <c r="D1005" s="181"/>
      <c r="E1005" s="10"/>
      <c r="F1005" s="182"/>
      <c r="J1005" s="183"/>
      <c r="K1005" s="184"/>
    </row>
    <row r="1006">
      <c r="C1006" s="181"/>
      <c r="D1006" s="181"/>
      <c r="E1006" s="10"/>
      <c r="F1006" s="182"/>
      <c r="J1006" s="183"/>
      <c r="K1006" s="184"/>
    </row>
    <row r="1007">
      <c r="C1007" s="181"/>
      <c r="D1007" s="181"/>
      <c r="E1007" s="10"/>
      <c r="F1007" s="182"/>
      <c r="J1007" s="183"/>
      <c r="K1007" s="184"/>
    </row>
    <row r="1008">
      <c r="C1008" s="181"/>
      <c r="D1008" s="181"/>
      <c r="E1008" s="10"/>
      <c r="F1008" s="182"/>
      <c r="J1008" s="183"/>
      <c r="K1008" s="184"/>
    </row>
    <row r="1009">
      <c r="C1009" s="181"/>
      <c r="D1009" s="181"/>
      <c r="E1009" s="10"/>
      <c r="F1009" s="182"/>
      <c r="J1009" s="183"/>
      <c r="K1009" s="184"/>
    </row>
    <row r="1010">
      <c r="C1010" s="181"/>
      <c r="D1010" s="181"/>
      <c r="E1010" s="10"/>
      <c r="F1010" s="182"/>
      <c r="J1010" s="183"/>
      <c r="K1010" s="184"/>
    </row>
    <row r="1011">
      <c r="C1011" s="181"/>
      <c r="D1011" s="181"/>
      <c r="E1011" s="10"/>
      <c r="F1011" s="182"/>
      <c r="J1011" s="183"/>
      <c r="K1011" s="184"/>
    </row>
    <row r="1012">
      <c r="C1012" s="181"/>
      <c r="D1012" s="181"/>
      <c r="E1012" s="10"/>
      <c r="F1012" s="182"/>
      <c r="J1012" s="183"/>
      <c r="K1012" s="184"/>
    </row>
    <row r="1013">
      <c r="C1013" s="181"/>
      <c r="D1013" s="181"/>
      <c r="E1013" s="10"/>
      <c r="F1013" s="182"/>
      <c r="J1013" s="183"/>
      <c r="K1013" s="184"/>
    </row>
  </sheetData>
  <mergeCells count="16">
    <mergeCell ref="A1:B1"/>
    <mergeCell ref="E1:F1"/>
    <mergeCell ref="G1:H1"/>
    <mergeCell ref="L1:M1"/>
    <mergeCell ref="E3:E4"/>
    <mergeCell ref="F3:F4"/>
    <mergeCell ref="H5:I5"/>
    <mergeCell ref="A11:F11"/>
    <mergeCell ref="G11:I11"/>
    <mergeCell ref="M5:N5"/>
    <mergeCell ref="L6:L7"/>
    <mergeCell ref="E7:G7"/>
    <mergeCell ref="Q7:Q8"/>
    <mergeCell ref="R7:R8"/>
    <mergeCell ref="S7:S8"/>
    <mergeCell ref="E8:G8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23.75"/>
    <col customWidth="1" min="2" max="2" width="25.13"/>
    <col customWidth="1" min="3" max="9" width="10.13"/>
    <col customWidth="1" min="17" max="17" width="13.88"/>
  </cols>
  <sheetData>
    <row r="1">
      <c r="E1" s="5"/>
      <c r="F1" s="185"/>
      <c r="G1" s="5"/>
      <c r="H1" s="186"/>
      <c r="I1" s="187"/>
      <c r="K1" s="87" t="s">
        <v>50</v>
      </c>
      <c r="L1" s="31"/>
      <c r="M1" s="40"/>
      <c r="O1" s="186"/>
      <c r="P1" s="188" t="s">
        <v>113</v>
      </c>
      <c r="Q1" s="31"/>
    </row>
    <row r="2">
      <c r="A2" s="89" t="s">
        <v>114</v>
      </c>
      <c r="B2" s="89" t="s">
        <v>115</v>
      </c>
      <c r="C2" s="40"/>
      <c r="D2" s="89" t="s">
        <v>42</v>
      </c>
      <c r="E2" s="89" t="s">
        <v>116</v>
      </c>
      <c r="F2" s="1" t="s">
        <v>79</v>
      </c>
      <c r="G2" s="40"/>
      <c r="H2" s="189" t="s">
        <v>73</v>
      </c>
      <c r="I2" s="190" t="s">
        <v>79</v>
      </c>
      <c r="K2" s="91" t="s">
        <v>73</v>
      </c>
      <c r="L2" s="92" t="s">
        <v>77</v>
      </c>
      <c r="M2" s="89" t="s">
        <v>78</v>
      </c>
      <c r="N2" s="45" t="s">
        <v>76</v>
      </c>
      <c r="O2" s="186"/>
      <c r="P2" s="189" t="s">
        <v>73</v>
      </c>
      <c r="Q2" s="189" t="s">
        <v>79</v>
      </c>
    </row>
    <row r="3">
      <c r="A3" s="13" t="s">
        <v>117</v>
      </c>
      <c r="B3" s="191">
        <v>0.09</v>
      </c>
      <c r="D3" s="192" t="s">
        <v>118</v>
      </c>
      <c r="E3" s="13">
        <v>150.0</v>
      </c>
      <c r="F3" s="193">
        <f>SUM(PAPEL!G4)</f>
        <v>0.06062</v>
      </c>
      <c r="G3" s="5"/>
      <c r="K3" s="96" t="s">
        <v>81</v>
      </c>
      <c r="L3" s="97">
        <v>0.16</v>
      </c>
      <c r="M3" s="98">
        <v>0.0</v>
      </c>
      <c r="N3" s="20">
        <f t="shared" ref="N3:N6" si="1">SUM(L3*M3)</f>
        <v>0</v>
      </c>
      <c r="O3" s="186"/>
      <c r="P3" s="194" t="s">
        <v>45</v>
      </c>
      <c r="Q3" s="195">
        <f>SUM(ACABAMENTO!K3)</f>
        <v>0</v>
      </c>
    </row>
    <row r="4">
      <c r="A4" s="13" t="s">
        <v>119</v>
      </c>
      <c r="B4" s="191">
        <v>0.16</v>
      </c>
      <c r="C4" s="40"/>
      <c r="D4" s="54"/>
      <c r="E4" s="13">
        <v>170.0</v>
      </c>
      <c r="F4" s="196">
        <f>SUM(PAPEL!G5)</f>
        <v>0.07266</v>
      </c>
      <c r="G4" s="40"/>
      <c r="H4" s="194" t="s">
        <v>48</v>
      </c>
      <c r="I4" s="195">
        <v>0.07</v>
      </c>
      <c r="K4" s="96" t="s">
        <v>120</v>
      </c>
      <c r="L4" s="97">
        <v>0.32</v>
      </c>
      <c r="M4" s="101">
        <v>24.0</v>
      </c>
      <c r="N4" s="20">
        <f t="shared" si="1"/>
        <v>7.68</v>
      </c>
      <c r="O4" s="186"/>
      <c r="P4" s="194" t="s">
        <v>48</v>
      </c>
      <c r="Q4" s="195">
        <f>SUM(ACABAMENTO!D8)</f>
        <v>7.7</v>
      </c>
    </row>
    <row r="5">
      <c r="A5" s="13" t="s">
        <v>121</v>
      </c>
      <c r="B5" s="191">
        <v>0.12</v>
      </c>
      <c r="C5" s="40"/>
      <c r="D5" s="54"/>
      <c r="E5" s="13">
        <v>250.0</v>
      </c>
      <c r="F5" s="193">
        <f>SUM(PAPEL!G7)</f>
        <v>0.09458</v>
      </c>
      <c r="G5" s="40"/>
      <c r="H5" s="197"/>
      <c r="I5" s="197"/>
      <c r="K5" s="198" t="s">
        <v>122</v>
      </c>
      <c r="L5" s="97">
        <v>0.32</v>
      </c>
      <c r="M5" s="98">
        <v>0.0</v>
      </c>
      <c r="N5" s="20">
        <f t="shared" si="1"/>
        <v>0</v>
      </c>
      <c r="O5" s="199"/>
    </row>
    <row r="6">
      <c r="A6" s="13" t="s">
        <v>123</v>
      </c>
      <c r="B6" s="191">
        <v>0.24</v>
      </c>
      <c r="C6" s="40"/>
      <c r="D6" s="54"/>
      <c r="E6" s="13">
        <v>300.0</v>
      </c>
      <c r="F6" s="193">
        <f>SUM(PAPEL!G8)</f>
        <v>0.06</v>
      </c>
      <c r="G6" s="40"/>
      <c r="H6" s="197" t="s">
        <v>124</v>
      </c>
      <c r="I6" s="197">
        <f>E148*I4</f>
        <v>70</v>
      </c>
      <c r="K6" s="198" t="s">
        <v>125</v>
      </c>
      <c r="L6" s="97">
        <v>0.64</v>
      </c>
      <c r="M6" s="101">
        <v>0.0</v>
      </c>
      <c r="N6" s="15">
        <f t="shared" si="1"/>
        <v>0</v>
      </c>
      <c r="O6" s="186"/>
    </row>
    <row r="7">
      <c r="D7" s="57"/>
      <c r="E7" s="13">
        <v>350.0</v>
      </c>
      <c r="F7" s="193">
        <f>SUM(PAPEL!G18)</f>
        <v>0.15488</v>
      </c>
      <c r="I7" s="27"/>
      <c r="L7" s="104" t="s">
        <v>83</v>
      </c>
      <c r="N7" s="105">
        <f>N3+N4+N5+N6</f>
        <v>7.68</v>
      </c>
    </row>
    <row r="8">
      <c r="D8" s="200" t="s">
        <v>126</v>
      </c>
      <c r="E8" s="13">
        <v>90.0</v>
      </c>
      <c r="F8" s="201">
        <v>0.04</v>
      </c>
      <c r="N8" s="5"/>
      <c r="O8" s="186"/>
    </row>
    <row r="9">
      <c r="D9" s="200"/>
      <c r="E9" s="5"/>
      <c r="F9" s="185"/>
      <c r="G9" s="5"/>
      <c r="H9" s="186"/>
      <c r="I9" s="27"/>
      <c r="K9" s="86" t="s">
        <v>74</v>
      </c>
      <c r="L9" s="31"/>
      <c r="M9" s="88" t="s">
        <v>75</v>
      </c>
      <c r="O9" s="186"/>
    </row>
    <row r="10">
      <c r="D10" s="200"/>
      <c r="E10" s="5"/>
      <c r="F10" s="185"/>
      <c r="G10" s="5"/>
      <c r="H10" s="186"/>
      <c r="I10" s="27"/>
      <c r="K10" s="89"/>
      <c r="L10" s="89" t="s">
        <v>79</v>
      </c>
      <c r="M10" s="89" t="s">
        <v>14</v>
      </c>
      <c r="N10" s="45" t="s">
        <v>76</v>
      </c>
      <c r="O10" s="186"/>
    </row>
    <row r="11">
      <c r="D11" s="200"/>
      <c r="E11" s="5"/>
      <c r="F11" s="185"/>
      <c r="G11" s="5"/>
      <c r="H11" s="186"/>
      <c r="I11" s="27"/>
      <c r="K11" s="13" t="s">
        <v>81</v>
      </c>
      <c r="L11" s="15">
        <f>SUM(ACABAMENTO!C24)</f>
        <v>0.85</v>
      </c>
      <c r="M11" s="99">
        <v>0.0</v>
      </c>
      <c r="N11" s="100">
        <f t="shared" ref="N11:N12" si="2">SUM(L11*M11)</f>
        <v>0</v>
      </c>
      <c r="O11" s="186"/>
    </row>
    <row r="12">
      <c r="D12" s="200"/>
      <c r="E12" s="5"/>
      <c r="F12" s="185"/>
      <c r="G12" s="5"/>
      <c r="H12" s="186"/>
      <c r="I12" s="27"/>
      <c r="K12" s="13" t="s">
        <v>82</v>
      </c>
      <c r="L12" s="15">
        <f>SUM(ACABAMENTO!C25)</f>
        <v>1.7</v>
      </c>
      <c r="M12" s="102">
        <v>20.0</v>
      </c>
      <c r="N12" s="100">
        <f t="shared" si="2"/>
        <v>34</v>
      </c>
      <c r="O12" s="186"/>
    </row>
    <row r="13">
      <c r="E13" s="5"/>
      <c r="F13" s="185"/>
      <c r="G13" s="5"/>
      <c r="H13" s="186"/>
      <c r="I13" s="27"/>
      <c r="L13" s="107"/>
      <c r="N13" s="108">
        <f>SUM(N11:N12)</f>
        <v>34</v>
      </c>
      <c r="O13" s="186"/>
    </row>
    <row r="14">
      <c r="E14" s="5"/>
      <c r="F14" s="185"/>
      <c r="G14" s="5"/>
      <c r="H14" s="186"/>
      <c r="I14" s="27"/>
      <c r="N14" s="5"/>
      <c r="O14" s="186"/>
    </row>
    <row r="15">
      <c r="A15" s="85" t="s">
        <v>127</v>
      </c>
      <c r="B15" s="30"/>
      <c r="C15" s="30"/>
      <c r="D15" s="30"/>
      <c r="E15" s="30"/>
      <c r="F15" s="30"/>
      <c r="G15" s="30"/>
      <c r="H15" s="30"/>
      <c r="I15" s="31"/>
      <c r="J15" s="86" t="s">
        <v>94</v>
      </c>
      <c r="K15" s="30"/>
      <c r="L15" s="31"/>
      <c r="M15" s="110"/>
      <c r="N15" s="110"/>
      <c r="O15" s="110"/>
      <c r="P15" s="106"/>
    </row>
    <row r="16">
      <c r="A16" s="1" t="s">
        <v>95</v>
      </c>
      <c r="B16" s="1" t="s">
        <v>96</v>
      </c>
      <c r="C16" s="118" t="s">
        <v>98</v>
      </c>
      <c r="D16" s="118" t="s">
        <v>128</v>
      </c>
      <c r="E16" s="118" t="s">
        <v>129</v>
      </c>
      <c r="F16" s="191" t="s">
        <v>130</v>
      </c>
      <c r="G16" s="2" t="s">
        <v>99</v>
      </c>
      <c r="H16" s="202" t="s">
        <v>131</v>
      </c>
      <c r="I16" s="120" t="s">
        <v>132</v>
      </c>
      <c r="J16" s="1" t="s">
        <v>73</v>
      </c>
      <c r="K16" s="1" t="s">
        <v>101</v>
      </c>
      <c r="L16" s="1" t="s">
        <v>74</v>
      </c>
      <c r="M16" s="120" t="s">
        <v>133</v>
      </c>
      <c r="N16" s="203" t="s">
        <v>134</v>
      </c>
      <c r="O16" s="204" t="s">
        <v>135</v>
      </c>
      <c r="P16" s="109" t="s">
        <v>136</v>
      </c>
      <c r="Q16" s="205" t="s">
        <v>137</v>
      </c>
    </row>
    <row r="17" ht="22.5" customHeight="1">
      <c r="A17" s="206" t="s">
        <v>138</v>
      </c>
      <c r="B17" s="207"/>
      <c r="C17" s="208">
        <v>50.0</v>
      </c>
      <c r="D17" s="174">
        <v>8.0</v>
      </c>
      <c r="E17" s="176">
        <f t="shared" ref="E17:E22" si="3">SUM(C17/D17)</f>
        <v>6.25</v>
      </c>
      <c r="F17" s="209">
        <v>0.09</v>
      </c>
      <c r="G17" s="210">
        <f t="shared" ref="G17:G22" si="4">SUM(F17*E17)</f>
        <v>0.5625</v>
      </c>
      <c r="H17" s="211">
        <v>0.06</v>
      </c>
      <c r="I17" s="178">
        <f t="shared" ref="I17:I22" si="5">SUM(E17*H17)</f>
        <v>0.375</v>
      </c>
      <c r="J17" s="177">
        <v>5.0</v>
      </c>
      <c r="K17" s="177">
        <v>0.0</v>
      </c>
      <c r="L17" s="177">
        <v>0.0</v>
      </c>
      <c r="M17" s="178">
        <f t="shared" ref="M17:M22" si="6">SUM(G17+I17+J17+K17+L17)</f>
        <v>5.9375</v>
      </c>
      <c r="N17" s="212">
        <v>3.0</v>
      </c>
      <c r="O17" s="213">
        <f t="shared" ref="O17:O22" si="7">SUM(M17*N17)+M17</f>
        <v>23.75</v>
      </c>
      <c r="P17" s="214"/>
    </row>
    <row r="18" ht="22.5" customHeight="1">
      <c r="A18" s="215"/>
      <c r="B18" s="216"/>
      <c r="C18" s="217">
        <v>100.0</v>
      </c>
      <c r="D18" s="174">
        <v>8.0</v>
      </c>
      <c r="E18" s="218">
        <f t="shared" si="3"/>
        <v>12.5</v>
      </c>
      <c r="F18" s="219">
        <v>0.09</v>
      </c>
      <c r="G18" s="220">
        <f t="shared" si="4"/>
        <v>1.125</v>
      </c>
      <c r="H18" s="221">
        <v>0.06</v>
      </c>
      <c r="I18" s="222">
        <f t="shared" si="5"/>
        <v>0.75</v>
      </c>
      <c r="J18" s="223">
        <v>5.0</v>
      </c>
      <c r="K18" s="223">
        <v>0.0</v>
      </c>
      <c r="L18" s="223">
        <v>0.0</v>
      </c>
      <c r="M18" s="222">
        <f t="shared" si="6"/>
        <v>6.875</v>
      </c>
      <c r="N18" s="224">
        <v>3.0</v>
      </c>
      <c r="O18" s="213">
        <f t="shared" si="7"/>
        <v>27.5</v>
      </c>
      <c r="P18" s="214"/>
    </row>
    <row r="19" ht="22.5" customHeight="1">
      <c r="A19" s="215"/>
      <c r="B19" s="216"/>
      <c r="C19" s="217">
        <v>250.0</v>
      </c>
      <c r="D19" s="174">
        <v>8.0</v>
      </c>
      <c r="E19" s="218">
        <f t="shared" si="3"/>
        <v>31.25</v>
      </c>
      <c r="F19" s="219">
        <v>0.09</v>
      </c>
      <c r="G19" s="220">
        <f t="shared" si="4"/>
        <v>2.8125</v>
      </c>
      <c r="H19" s="221">
        <v>0.06</v>
      </c>
      <c r="I19" s="222">
        <f t="shared" si="5"/>
        <v>1.875</v>
      </c>
      <c r="J19" s="223">
        <v>5.0</v>
      </c>
      <c r="K19" s="223">
        <v>0.0</v>
      </c>
      <c r="L19" s="223">
        <v>0.0</v>
      </c>
      <c r="M19" s="222">
        <f t="shared" si="6"/>
        <v>9.6875</v>
      </c>
      <c r="N19" s="224">
        <v>3.0</v>
      </c>
      <c r="O19" s="213">
        <f t="shared" si="7"/>
        <v>38.75</v>
      </c>
      <c r="P19" s="214"/>
    </row>
    <row r="20" ht="22.5" customHeight="1">
      <c r="A20" s="215"/>
      <c r="B20" s="216"/>
      <c r="C20" s="217">
        <v>500.0</v>
      </c>
      <c r="D20" s="174">
        <v>8.0</v>
      </c>
      <c r="E20" s="218">
        <f t="shared" si="3"/>
        <v>62.5</v>
      </c>
      <c r="F20" s="219">
        <v>0.09</v>
      </c>
      <c r="G20" s="220">
        <f t="shared" si="4"/>
        <v>5.625</v>
      </c>
      <c r="H20" s="221">
        <v>0.06</v>
      </c>
      <c r="I20" s="222">
        <f t="shared" si="5"/>
        <v>3.75</v>
      </c>
      <c r="J20" s="223">
        <v>5.0</v>
      </c>
      <c r="K20" s="223">
        <v>0.0</v>
      </c>
      <c r="L20" s="223">
        <v>0.0</v>
      </c>
      <c r="M20" s="222">
        <f t="shared" si="6"/>
        <v>14.375</v>
      </c>
      <c r="N20" s="224">
        <v>3.0</v>
      </c>
      <c r="O20" s="213">
        <f t="shared" si="7"/>
        <v>57.5</v>
      </c>
      <c r="P20" s="214"/>
    </row>
    <row r="21" ht="22.5" customHeight="1">
      <c r="A21" s="215"/>
      <c r="B21" s="216"/>
      <c r="C21" s="217">
        <v>750.0</v>
      </c>
      <c r="D21" s="174">
        <v>8.0</v>
      </c>
      <c r="E21" s="218">
        <f t="shared" si="3"/>
        <v>93.75</v>
      </c>
      <c r="F21" s="219">
        <v>0.09</v>
      </c>
      <c r="G21" s="220">
        <f t="shared" si="4"/>
        <v>8.4375</v>
      </c>
      <c r="H21" s="221">
        <v>0.06</v>
      </c>
      <c r="I21" s="222">
        <f t="shared" si="5"/>
        <v>5.625</v>
      </c>
      <c r="J21" s="223">
        <v>5.0</v>
      </c>
      <c r="K21" s="223">
        <v>0.0</v>
      </c>
      <c r="L21" s="223">
        <v>0.0</v>
      </c>
      <c r="M21" s="222">
        <f t="shared" si="6"/>
        <v>19.0625</v>
      </c>
      <c r="N21" s="224">
        <v>3.0</v>
      </c>
      <c r="O21" s="213">
        <f t="shared" si="7"/>
        <v>76.25</v>
      </c>
      <c r="P21" s="214"/>
    </row>
    <row r="22" ht="22.5" customHeight="1">
      <c r="A22" s="225"/>
      <c r="B22" s="226"/>
      <c r="C22" s="227">
        <v>1000.0</v>
      </c>
      <c r="D22" s="174">
        <v>8.0</v>
      </c>
      <c r="E22" s="218">
        <f t="shared" si="3"/>
        <v>125</v>
      </c>
      <c r="F22" s="219">
        <v>0.09</v>
      </c>
      <c r="G22" s="220">
        <f t="shared" si="4"/>
        <v>11.25</v>
      </c>
      <c r="H22" s="221">
        <v>0.06</v>
      </c>
      <c r="I22" s="222">
        <f t="shared" si="5"/>
        <v>7.5</v>
      </c>
      <c r="J22" s="228">
        <v>15.0</v>
      </c>
      <c r="K22" s="223">
        <v>0.0</v>
      </c>
      <c r="L22" s="223">
        <v>0.0</v>
      </c>
      <c r="M22" s="222">
        <f t="shared" si="6"/>
        <v>33.75</v>
      </c>
      <c r="N22" s="224">
        <v>3.0</v>
      </c>
      <c r="O22" s="213">
        <f t="shared" si="7"/>
        <v>135</v>
      </c>
      <c r="P22" s="214">
        <f>O22/C22</f>
        <v>0.135</v>
      </c>
    </row>
    <row r="23" ht="7.5" customHeight="1">
      <c r="A23" s="229"/>
      <c r="B23" s="229"/>
      <c r="C23" s="230"/>
      <c r="D23" s="230"/>
      <c r="E23" s="230"/>
      <c r="F23" s="231"/>
      <c r="G23" s="231"/>
      <c r="H23" s="232"/>
      <c r="I23" s="232"/>
      <c r="J23" s="231"/>
      <c r="K23" s="231"/>
      <c r="L23" s="231"/>
      <c r="M23" s="232"/>
      <c r="N23" s="233"/>
      <c r="O23" s="233"/>
      <c r="P23" s="234"/>
      <c r="Q23" s="235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</row>
    <row r="24" ht="22.5" customHeight="1">
      <c r="A24" s="237" t="s">
        <v>139</v>
      </c>
      <c r="B24" s="216"/>
      <c r="C24" s="217">
        <v>50.0</v>
      </c>
      <c r="D24" s="227">
        <v>8.0</v>
      </c>
      <c r="E24" s="218">
        <f t="shared" ref="E24:E29" si="8">SUM(C24/D24)</f>
        <v>6.25</v>
      </c>
      <c r="F24" s="219">
        <v>0.16</v>
      </c>
      <c r="G24" s="220">
        <f t="shared" ref="G24:G29" si="9">SUM(F24*E24)</f>
        <v>1</v>
      </c>
      <c r="H24" s="221">
        <v>0.06</v>
      </c>
      <c r="I24" s="222">
        <f t="shared" ref="I24:I29" si="10">SUM(E24*H24)</f>
        <v>0.375</v>
      </c>
      <c r="J24" s="223">
        <v>5.0</v>
      </c>
      <c r="K24" s="223">
        <v>0.0</v>
      </c>
      <c r="L24" s="223">
        <v>0.0</v>
      </c>
      <c r="M24" s="222">
        <f t="shared" ref="M24:M29" si="11">SUM(G24+I24+J24+K24+L24)</f>
        <v>6.375</v>
      </c>
      <c r="N24" s="224">
        <v>3.0</v>
      </c>
      <c r="O24" s="213">
        <f t="shared" ref="O24:O29" si="12">SUM(M24*N24)+M24</f>
        <v>25.5</v>
      </c>
      <c r="P24" s="214"/>
      <c r="R24" s="236"/>
      <c r="S24" s="236"/>
    </row>
    <row r="25" ht="22.5" customHeight="1">
      <c r="B25" s="216"/>
      <c r="C25" s="217">
        <v>100.0</v>
      </c>
      <c r="D25" s="227">
        <v>8.0</v>
      </c>
      <c r="E25" s="218">
        <f t="shared" si="8"/>
        <v>12.5</v>
      </c>
      <c r="F25" s="219">
        <v>0.16</v>
      </c>
      <c r="G25" s="220">
        <f t="shared" si="9"/>
        <v>2</v>
      </c>
      <c r="H25" s="221">
        <v>0.06</v>
      </c>
      <c r="I25" s="222">
        <f t="shared" si="10"/>
        <v>0.75</v>
      </c>
      <c r="J25" s="228">
        <v>5.0</v>
      </c>
      <c r="K25" s="228">
        <v>7.0</v>
      </c>
      <c r="L25" s="223">
        <v>0.0</v>
      </c>
      <c r="M25" s="222">
        <f t="shared" si="11"/>
        <v>14.75</v>
      </c>
      <c r="N25" s="224">
        <v>3.0</v>
      </c>
      <c r="O25" s="213">
        <f t="shared" si="12"/>
        <v>59</v>
      </c>
      <c r="P25" s="214">
        <f>O25/C25</f>
        <v>0.59</v>
      </c>
    </row>
    <row r="26" ht="22.5" customHeight="1">
      <c r="B26" s="216"/>
      <c r="C26" s="217">
        <v>250.0</v>
      </c>
      <c r="D26" s="227">
        <v>8.0</v>
      </c>
      <c r="E26" s="218">
        <f t="shared" si="8"/>
        <v>31.25</v>
      </c>
      <c r="F26" s="219">
        <v>0.16</v>
      </c>
      <c r="G26" s="220">
        <f t="shared" si="9"/>
        <v>5</v>
      </c>
      <c r="H26" s="221">
        <v>0.06</v>
      </c>
      <c r="I26" s="222">
        <f t="shared" si="10"/>
        <v>1.875</v>
      </c>
      <c r="J26" s="223">
        <v>5.0</v>
      </c>
      <c r="K26" s="223">
        <v>0.0</v>
      </c>
      <c r="L26" s="223">
        <v>0.0</v>
      </c>
      <c r="M26" s="222">
        <f t="shared" si="11"/>
        <v>11.875</v>
      </c>
      <c r="N26" s="224">
        <v>3.0</v>
      </c>
      <c r="O26" s="213">
        <f t="shared" si="12"/>
        <v>47.5</v>
      </c>
      <c r="P26" s="214"/>
    </row>
    <row r="27" ht="22.5" customHeight="1">
      <c r="B27" s="216"/>
      <c r="C27" s="217">
        <v>500.0</v>
      </c>
      <c r="D27" s="227">
        <v>8.0</v>
      </c>
      <c r="E27" s="218">
        <f t="shared" si="8"/>
        <v>62.5</v>
      </c>
      <c r="F27" s="219">
        <v>0.16</v>
      </c>
      <c r="G27" s="220">
        <f t="shared" si="9"/>
        <v>10</v>
      </c>
      <c r="H27" s="221">
        <v>0.06</v>
      </c>
      <c r="I27" s="222">
        <f t="shared" si="10"/>
        <v>3.75</v>
      </c>
      <c r="J27" s="228">
        <v>15.0</v>
      </c>
      <c r="K27" s="223">
        <v>0.0</v>
      </c>
      <c r="L27" s="223">
        <v>0.0</v>
      </c>
      <c r="M27" s="222">
        <f t="shared" si="11"/>
        <v>28.75</v>
      </c>
      <c r="N27" s="224">
        <v>3.0</v>
      </c>
      <c r="O27" s="213">
        <f t="shared" si="12"/>
        <v>115</v>
      </c>
      <c r="P27" s="214"/>
    </row>
    <row r="28" ht="22.5" customHeight="1">
      <c r="B28" s="216"/>
      <c r="C28" s="217">
        <v>750.0</v>
      </c>
      <c r="D28" s="227">
        <v>8.0</v>
      </c>
      <c r="E28" s="218">
        <f t="shared" si="8"/>
        <v>93.75</v>
      </c>
      <c r="F28" s="219">
        <v>0.16</v>
      </c>
      <c r="G28" s="220">
        <f t="shared" si="9"/>
        <v>15</v>
      </c>
      <c r="H28" s="221">
        <v>0.06</v>
      </c>
      <c r="I28" s="222">
        <f t="shared" si="10"/>
        <v>5.625</v>
      </c>
      <c r="J28" s="228">
        <v>15.0</v>
      </c>
      <c r="K28" s="223">
        <v>0.0</v>
      </c>
      <c r="L28" s="223">
        <v>0.0</v>
      </c>
      <c r="M28" s="222">
        <f t="shared" si="11"/>
        <v>35.625</v>
      </c>
      <c r="N28" s="224">
        <v>3.0</v>
      </c>
      <c r="O28" s="213">
        <f t="shared" si="12"/>
        <v>142.5</v>
      </c>
      <c r="P28" s="214"/>
    </row>
    <row r="29" ht="22.5" customHeight="1">
      <c r="A29" s="238"/>
      <c r="B29" s="226"/>
      <c r="C29" s="217">
        <v>1000.0</v>
      </c>
      <c r="D29" s="227">
        <v>8.0</v>
      </c>
      <c r="E29" s="218">
        <f t="shared" si="8"/>
        <v>125</v>
      </c>
      <c r="F29" s="219">
        <v>0.16</v>
      </c>
      <c r="G29" s="220">
        <f t="shared" si="9"/>
        <v>20</v>
      </c>
      <c r="H29" s="221">
        <v>0.06</v>
      </c>
      <c r="I29" s="222">
        <f t="shared" si="10"/>
        <v>7.5</v>
      </c>
      <c r="J29" s="223">
        <v>15.0</v>
      </c>
      <c r="K29" s="223">
        <v>0.0</v>
      </c>
      <c r="L29" s="223">
        <v>0.0</v>
      </c>
      <c r="M29" s="222">
        <f t="shared" si="11"/>
        <v>42.5</v>
      </c>
      <c r="N29" s="224">
        <v>3.0</v>
      </c>
      <c r="O29" s="213">
        <f t="shared" si="12"/>
        <v>170</v>
      </c>
      <c r="P29" s="214"/>
    </row>
    <row r="30" ht="7.5" customHeight="1">
      <c r="A30" s="239"/>
      <c r="B30" s="239"/>
      <c r="C30" s="239"/>
      <c r="D30" s="239"/>
      <c r="E30" s="239"/>
      <c r="F30" s="240"/>
      <c r="G30" s="239"/>
      <c r="H30" s="241"/>
      <c r="I30" s="241"/>
      <c r="J30" s="239"/>
      <c r="K30" s="239"/>
      <c r="L30" s="239"/>
      <c r="M30" s="239"/>
      <c r="N30" s="239"/>
      <c r="O30" s="239"/>
      <c r="P30" s="236"/>
      <c r="Q30" s="235"/>
    </row>
    <row r="31" ht="22.5" customHeight="1">
      <c r="A31" s="242" t="s">
        <v>140</v>
      </c>
      <c r="B31" s="207"/>
      <c r="C31" s="124">
        <v>50.0</v>
      </c>
      <c r="D31" s="124">
        <v>4.0</v>
      </c>
      <c r="E31" s="171">
        <f t="shared" ref="E31:E36" si="13">SUM(C31/D31)</f>
        <v>12.5</v>
      </c>
      <c r="F31" s="243">
        <v>0.09</v>
      </c>
      <c r="G31" s="244">
        <f t="shared" ref="G31:G36" si="14">SUM(F31*E31)</f>
        <v>1.125</v>
      </c>
      <c r="H31" s="245">
        <v>0.06</v>
      </c>
      <c r="I31" s="127">
        <f t="shared" ref="I31:I36" si="15">SUM(E31*H31)</f>
        <v>0.75</v>
      </c>
      <c r="J31" s="125">
        <v>5.0</v>
      </c>
      <c r="K31" s="125">
        <v>0.0</v>
      </c>
      <c r="L31" s="125">
        <v>0.0</v>
      </c>
      <c r="M31" s="127">
        <f t="shared" ref="M31:M36" si="16">SUM(G31+I31+J31+K31+L31)</f>
        <v>6.875</v>
      </c>
      <c r="N31" s="246">
        <v>3.0</v>
      </c>
      <c r="O31" s="213">
        <f t="shared" ref="O31:O36" si="17">SUM(M31*N31)+M31</f>
        <v>27.5</v>
      </c>
      <c r="P31" s="146"/>
    </row>
    <row r="32" ht="22.5" customHeight="1">
      <c r="A32" s="215"/>
      <c r="B32" s="216"/>
      <c r="C32" s="124">
        <v>100.0</v>
      </c>
      <c r="D32" s="124">
        <v>4.0</v>
      </c>
      <c r="E32" s="171">
        <f t="shared" si="13"/>
        <v>25</v>
      </c>
      <c r="F32" s="243">
        <v>0.09</v>
      </c>
      <c r="G32" s="244">
        <f t="shared" si="14"/>
        <v>2.25</v>
      </c>
      <c r="H32" s="245">
        <v>0.06</v>
      </c>
      <c r="I32" s="127">
        <f t="shared" si="15"/>
        <v>1.5</v>
      </c>
      <c r="J32" s="125">
        <v>5.0</v>
      </c>
      <c r="K32" s="125">
        <v>0.0</v>
      </c>
      <c r="L32" s="125">
        <v>0.0</v>
      </c>
      <c r="M32" s="127">
        <f t="shared" si="16"/>
        <v>8.75</v>
      </c>
      <c r="N32" s="246">
        <v>3.0</v>
      </c>
      <c r="O32" s="213">
        <f t="shared" si="17"/>
        <v>35</v>
      </c>
      <c r="P32" s="146"/>
    </row>
    <row r="33" ht="22.5" customHeight="1">
      <c r="A33" s="215"/>
      <c r="B33" s="216"/>
      <c r="C33" s="124">
        <v>200.0</v>
      </c>
      <c r="D33" s="124">
        <v>4.0</v>
      </c>
      <c r="E33" s="171">
        <f t="shared" si="13"/>
        <v>50</v>
      </c>
      <c r="F33" s="243">
        <v>0.05</v>
      </c>
      <c r="G33" s="244">
        <f t="shared" si="14"/>
        <v>2.5</v>
      </c>
      <c r="H33" s="245">
        <v>0.06</v>
      </c>
      <c r="I33" s="127">
        <f t="shared" si="15"/>
        <v>3</v>
      </c>
      <c r="J33" s="125">
        <v>5.0</v>
      </c>
      <c r="K33" s="125">
        <v>0.0</v>
      </c>
      <c r="L33" s="125">
        <v>0.0</v>
      </c>
      <c r="M33" s="127">
        <f t="shared" si="16"/>
        <v>10.5</v>
      </c>
      <c r="N33" s="246">
        <v>3.0</v>
      </c>
      <c r="O33" s="213">
        <f t="shared" si="17"/>
        <v>42</v>
      </c>
      <c r="P33" s="146"/>
    </row>
    <row r="34" ht="22.5" customHeight="1">
      <c r="A34" s="215"/>
      <c r="B34" s="216"/>
      <c r="C34" s="124">
        <v>500.0</v>
      </c>
      <c r="D34" s="124">
        <v>4.0</v>
      </c>
      <c r="E34" s="171">
        <f t="shared" si="13"/>
        <v>125</v>
      </c>
      <c r="F34" s="243">
        <v>0.09</v>
      </c>
      <c r="G34" s="244">
        <f t="shared" si="14"/>
        <v>11.25</v>
      </c>
      <c r="H34" s="245">
        <v>0.06</v>
      </c>
      <c r="I34" s="127">
        <f t="shared" si="15"/>
        <v>7.5</v>
      </c>
      <c r="J34" s="125">
        <v>15.0</v>
      </c>
      <c r="K34" s="125">
        <v>0.0</v>
      </c>
      <c r="L34" s="125">
        <v>0.0</v>
      </c>
      <c r="M34" s="127">
        <f t="shared" si="16"/>
        <v>33.75</v>
      </c>
      <c r="N34" s="246">
        <v>3.0</v>
      </c>
      <c r="O34" s="213">
        <f t="shared" si="17"/>
        <v>135</v>
      </c>
      <c r="P34" s="146"/>
    </row>
    <row r="35" ht="22.5" customHeight="1">
      <c r="A35" s="215"/>
      <c r="B35" s="216"/>
      <c r="C35" s="124">
        <v>750.0</v>
      </c>
      <c r="D35" s="124">
        <v>4.0</v>
      </c>
      <c r="E35" s="171">
        <f t="shared" si="13"/>
        <v>187.5</v>
      </c>
      <c r="F35" s="243">
        <v>0.09</v>
      </c>
      <c r="G35" s="244">
        <f t="shared" si="14"/>
        <v>16.875</v>
      </c>
      <c r="H35" s="245">
        <v>0.06</v>
      </c>
      <c r="I35" s="127">
        <f t="shared" si="15"/>
        <v>11.25</v>
      </c>
      <c r="J35" s="125">
        <v>15.0</v>
      </c>
      <c r="K35" s="125">
        <v>0.0</v>
      </c>
      <c r="L35" s="125">
        <v>0.0</v>
      </c>
      <c r="M35" s="127">
        <f t="shared" si="16"/>
        <v>43.125</v>
      </c>
      <c r="N35" s="246">
        <v>3.0</v>
      </c>
      <c r="O35" s="213">
        <f t="shared" si="17"/>
        <v>172.5</v>
      </c>
      <c r="P35" s="146"/>
    </row>
    <row r="36" ht="22.5" customHeight="1">
      <c r="A36" s="225"/>
      <c r="B36" s="226"/>
      <c r="C36" s="124">
        <v>1000.0</v>
      </c>
      <c r="D36" s="124">
        <v>4.0</v>
      </c>
      <c r="E36" s="171">
        <f t="shared" si="13"/>
        <v>250</v>
      </c>
      <c r="F36" s="243">
        <v>0.09</v>
      </c>
      <c r="G36" s="244">
        <f t="shared" si="14"/>
        <v>22.5</v>
      </c>
      <c r="H36" s="245">
        <v>0.06</v>
      </c>
      <c r="I36" s="127">
        <f t="shared" si="15"/>
        <v>15</v>
      </c>
      <c r="J36" s="125">
        <v>15.0</v>
      </c>
      <c r="K36" s="125">
        <v>0.0</v>
      </c>
      <c r="L36" s="125">
        <v>0.0</v>
      </c>
      <c r="M36" s="127">
        <f t="shared" si="16"/>
        <v>52.5</v>
      </c>
      <c r="N36" s="246">
        <v>3.0</v>
      </c>
      <c r="O36" s="213">
        <f t="shared" si="17"/>
        <v>210</v>
      </c>
      <c r="P36" s="146"/>
    </row>
    <row r="37" ht="7.5" customHeight="1">
      <c r="A37" s="239"/>
      <c r="B37" s="239"/>
      <c r="C37" s="239"/>
      <c r="D37" s="239"/>
      <c r="E37" s="239"/>
      <c r="F37" s="240"/>
      <c r="G37" s="239"/>
      <c r="H37" s="241"/>
      <c r="I37" s="241"/>
      <c r="J37" s="239"/>
      <c r="K37" s="239"/>
      <c r="L37" s="239"/>
      <c r="M37" s="239"/>
      <c r="N37" s="239"/>
      <c r="O37" s="239"/>
      <c r="P37" s="236"/>
      <c r="Q37" s="235"/>
    </row>
    <row r="38" ht="22.5" customHeight="1">
      <c r="A38" s="242" t="s">
        <v>141</v>
      </c>
      <c r="B38" s="207"/>
      <c r="C38" s="124">
        <v>50.0</v>
      </c>
      <c r="D38" s="124">
        <v>4.0</v>
      </c>
      <c r="E38" s="171">
        <f t="shared" ref="E38:E43" si="18">SUM(C38/D38)</f>
        <v>12.5</v>
      </c>
      <c r="F38" s="243">
        <v>0.16</v>
      </c>
      <c r="G38" s="244">
        <f t="shared" ref="G38:G43" si="19">SUM(F38*E38)</f>
        <v>2</v>
      </c>
      <c r="H38" s="245">
        <v>0.06</v>
      </c>
      <c r="I38" s="127">
        <f t="shared" ref="I38:I43" si="20">SUM(E38*H38)</f>
        <v>0.75</v>
      </c>
      <c r="J38" s="125">
        <v>5.0</v>
      </c>
      <c r="K38" s="125">
        <v>0.0</v>
      </c>
      <c r="L38" s="125">
        <v>0.0</v>
      </c>
      <c r="M38" s="127">
        <f t="shared" ref="M38:M43" si="21">SUM(G38+I38+J38+K38+L38)</f>
        <v>7.75</v>
      </c>
      <c r="N38" s="246">
        <v>3.0</v>
      </c>
      <c r="O38" s="213">
        <f t="shared" ref="O38:O43" si="22">SUM(M38*N38)+M38</f>
        <v>31</v>
      </c>
      <c r="P38" s="146"/>
    </row>
    <row r="39" ht="22.5" customHeight="1">
      <c r="A39" s="215"/>
      <c r="B39" s="216"/>
      <c r="C39" s="124">
        <v>100.0</v>
      </c>
      <c r="D39" s="124">
        <v>4.0</v>
      </c>
      <c r="E39" s="171">
        <f t="shared" si="18"/>
        <v>25</v>
      </c>
      <c r="F39" s="243">
        <v>0.16</v>
      </c>
      <c r="G39" s="244">
        <f t="shared" si="19"/>
        <v>4</v>
      </c>
      <c r="H39" s="245">
        <v>0.06</v>
      </c>
      <c r="I39" s="127">
        <f t="shared" si="20"/>
        <v>1.5</v>
      </c>
      <c r="J39" s="125">
        <v>5.0</v>
      </c>
      <c r="K39" s="125">
        <v>0.0</v>
      </c>
      <c r="L39" s="125">
        <v>0.0</v>
      </c>
      <c r="M39" s="127">
        <f t="shared" si="21"/>
        <v>10.5</v>
      </c>
      <c r="N39" s="246">
        <v>3.0</v>
      </c>
      <c r="O39" s="213">
        <f t="shared" si="22"/>
        <v>42</v>
      </c>
      <c r="P39" s="146"/>
    </row>
    <row r="40" ht="22.5" customHeight="1">
      <c r="A40" s="215"/>
      <c r="B40" s="216"/>
      <c r="C40" s="124">
        <v>250.0</v>
      </c>
      <c r="D40" s="124">
        <v>4.0</v>
      </c>
      <c r="E40" s="171">
        <f t="shared" si="18"/>
        <v>62.5</v>
      </c>
      <c r="F40" s="243">
        <v>0.16</v>
      </c>
      <c r="G40" s="244">
        <f t="shared" si="19"/>
        <v>10</v>
      </c>
      <c r="H40" s="245">
        <v>0.06</v>
      </c>
      <c r="I40" s="127">
        <f t="shared" si="20"/>
        <v>3.75</v>
      </c>
      <c r="J40" s="125">
        <v>5.0</v>
      </c>
      <c r="K40" s="125">
        <v>0.0</v>
      </c>
      <c r="L40" s="125">
        <v>0.0</v>
      </c>
      <c r="M40" s="127">
        <f t="shared" si="21"/>
        <v>18.75</v>
      </c>
      <c r="N40" s="246">
        <v>3.0</v>
      </c>
      <c r="O40" s="213">
        <f t="shared" si="22"/>
        <v>75</v>
      </c>
      <c r="P40" s="146"/>
    </row>
    <row r="41" ht="22.5" customHeight="1">
      <c r="A41" s="215"/>
      <c r="B41" s="216"/>
      <c r="C41" s="124">
        <v>500.0</v>
      </c>
      <c r="D41" s="124">
        <v>4.0</v>
      </c>
      <c r="E41" s="171">
        <f t="shared" si="18"/>
        <v>125</v>
      </c>
      <c r="F41" s="243">
        <v>0.16</v>
      </c>
      <c r="G41" s="244">
        <f t="shared" si="19"/>
        <v>20</v>
      </c>
      <c r="H41" s="245">
        <v>0.06</v>
      </c>
      <c r="I41" s="127">
        <f t="shared" si="20"/>
        <v>7.5</v>
      </c>
      <c r="J41" s="125">
        <v>15.0</v>
      </c>
      <c r="K41" s="125">
        <v>0.0</v>
      </c>
      <c r="L41" s="125">
        <v>0.0</v>
      </c>
      <c r="M41" s="127">
        <f t="shared" si="21"/>
        <v>42.5</v>
      </c>
      <c r="N41" s="246">
        <v>3.0</v>
      </c>
      <c r="O41" s="213">
        <f t="shared" si="22"/>
        <v>170</v>
      </c>
      <c r="P41" s="146"/>
    </row>
    <row r="42" ht="22.5" customHeight="1">
      <c r="A42" s="215"/>
      <c r="B42" s="216"/>
      <c r="C42" s="124">
        <v>750.0</v>
      </c>
      <c r="D42" s="124">
        <v>4.0</v>
      </c>
      <c r="E42" s="171">
        <f t="shared" si="18"/>
        <v>187.5</v>
      </c>
      <c r="F42" s="243">
        <v>0.16</v>
      </c>
      <c r="G42" s="244">
        <f t="shared" si="19"/>
        <v>30</v>
      </c>
      <c r="H42" s="245">
        <v>0.06</v>
      </c>
      <c r="I42" s="127">
        <f t="shared" si="20"/>
        <v>11.25</v>
      </c>
      <c r="J42" s="125">
        <v>15.0</v>
      </c>
      <c r="K42" s="125">
        <v>0.0</v>
      </c>
      <c r="L42" s="125">
        <v>0.0</v>
      </c>
      <c r="M42" s="127">
        <f t="shared" si="21"/>
        <v>56.25</v>
      </c>
      <c r="N42" s="246">
        <v>3.0</v>
      </c>
      <c r="O42" s="213">
        <f t="shared" si="22"/>
        <v>225</v>
      </c>
      <c r="P42" s="146"/>
    </row>
    <row r="43" ht="22.5" customHeight="1">
      <c r="A43" s="225"/>
      <c r="B43" s="226"/>
      <c r="C43" s="124">
        <v>1000.0</v>
      </c>
      <c r="D43" s="124">
        <v>4.0</v>
      </c>
      <c r="E43" s="171">
        <f t="shared" si="18"/>
        <v>250</v>
      </c>
      <c r="F43" s="243">
        <v>0.16</v>
      </c>
      <c r="G43" s="244">
        <f t="shared" si="19"/>
        <v>40</v>
      </c>
      <c r="H43" s="245">
        <v>0.06</v>
      </c>
      <c r="I43" s="127">
        <f t="shared" si="20"/>
        <v>15</v>
      </c>
      <c r="J43" s="125">
        <v>15.0</v>
      </c>
      <c r="K43" s="125">
        <v>0.0</v>
      </c>
      <c r="L43" s="125">
        <v>0.0</v>
      </c>
      <c r="M43" s="127">
        <f t="shared" si="21"/>
        <v>70</v>
      </c>
      <c r="N43" s="246">
        <v>3.0</v>
      </c>
      <c r="O43" s="213">
        <f t="shared" si="22"/>
        <v>280</v>
      </c>
      <c r="P43" s="146"/>
    </row>
    <row r="44" ht="7.5" customHeight="1">
      <c r="A44" s="239"/>
      <c r="B44" s="239"/>
      <c r="C44" s="239"/>
      <c r="D44" s="239"/>
      <c r="E44" s="239"/>
      <c r="F44" s="240"/>
      <c r="G44" s="239"/>
      <c r="H44" s="241"/>
      <c r="I44" s="241"/>
      <c r="J44" s="239"/>
      <c r="K44" s="239"/>
      <c r="L44" s="239"/>
      <c r="M44" s="239"/>
      <c r="N44" s="239"/>
      <c r="O44" s="239"/>
      <c r="P44" s="236"/>
      <c r="Q44" s="235"/>
    </row>
    <row r="45" ht="22.5" customHeight="1">
      <c r="A45" s="242" t="s">
        <v>142</v>
      </c>
      <c r="B45" s="207"/>
      <c r="C45" s="124">
        <v>50.0</v>
      </c>
      <c r="D45" s="124">
        <v>2.0</v>
      </c>
      <c r="E45" s="171">
        <f t="shared" ref="E45:E50" si="23">SUM(C45/D45)</f>
        <v>25</v>
      </c>
      <c r="F45" s="243">
        <v>0.16</v>
      </c>
      <c r="G45" s="244">
        <f t="shared" ref="G45:G50" si="24">SUM(F45*E45)</f>
        <v>4</v>
      </c>
      <c r="H45" s="245">
        <v>0.06</v>
      </c>
      <c r="I45" s="127">
        <f t="shared" ref="I45:I50" si="25">SUM(E45*H45)</f>
        <v>1.5</v>
      </c>
      <c r="J45" s="125">
        <v>5.0</v>
      </c>
      <c r="K45" s="125">
        <v>0.0</v>
      </c>
      <c r="L45" s="125">
        <v>0.0</v>
      </c>
      <c r="M45" s="127">
        <f t="shared" ref="M45:M50" si="26">SUM(G45+I45+J45+K45+L45)</f>
        <v>10.5</v>
      </c>
      <c r="N45" s="246">
        <v>3.0</v>
      </c>
      <c r="O45" s="213">
        <f t="shared" ref="O45:O50" si="27">SUM(M45*N45)+M45</f>
        <v>42</v>
      </c>
      <c r="P45" s="146"/>
    </row>
    <row r="46" ht="22.5" customHeight="1">
      <c r="A46" s="215"/>
      <c r="B46" s="216"/>
      <c r="C46" s="124">
        <v>100.0</v>
      </c>
      <c r="D46" s="124">
        <v>2.0</v>
      </c>
      <c r="E46" s="171">
        <f t="shared" si="23"/>
        <v>50</v>
      </c>
      <c r="F46" s="243">
        <v>0.16</v>
      </c>
      <c r="G46" s="244">
        <f t="shared" si="24"/>
        <v>8</v>
      </c>
      <c r="H46" s="245">
        <v>0.06</v>
      </c>
      <c r="I46" s="127">
        <f t="shared" si="25"/>
        <v>3</v>
      </c>
      <c r="J46" s="125">
        <v>5.0</v>
      </c>
      <c r="K46" s="125">
        <v>0.0</v>
      </c>
      <c r="L46" s="125">
        <v>0.0</v>
      </c>
      <c r="M46" s="127">
        <f t="shared" si="26"/>
        <v>16</v>
      </c>
      <c r="N46" s="246">
        <v>3.0</v>
      </c>
      <c r="O46" s="213">
        <f t="shared" si="27"/>
        <v>64</v>
      </c>
      <c r="P46" s="146"/>
    </row>
    <row r="47" ht="22.5" customHeight="1">
      <c r="A47" s="215"/>
      <c r="B47" s="216"/>
      <c r="C47" s="124">
        <v>250.0</v>
      </c>
      <c r="D47" s="124">
        <v>2.0</v>
      </c>
      <c r="E47" s="171">
        <f t="shared" si="23"/>
        <v>125</v>
      </c>
      <c r="F47" s="243">
        <v>0.16</v>
      </c>
      <c r="G47" s="244">
        <f t="shared" si="24"/>
        <v>20</v>
      </c>
      <c r="H47" s="245">
        <v>0.06</v>
      </c>
      <c r="I47" s="127">
        <f t="shared" si="25"/>
        <v>7.5</v>
      </c>
      <c r="J47" s="125">
        <v>5.0</v>
      </c>
      <c r="K47" s="125">
        <v>0.0</v>
      </c>
      <c r="L47" s="125">
        <v>0.0</v>
      </c>
      <c r="M47" s="127">
        <f t="shared" si="26"/>
        <v>32.5</v>
      </c>
      <c r="N47" s="246">
        <v>3.0</v>
      </c>
      <c r="O47" s="213">
        <f t="shared" si="27"/>
        <v>130</v>
      </c>
      <c r="P47" s="146"/>
    </row>
    <row r="48" ht="22.5" customHeight="1">
      <c r="A48" s="215"/>
      <c r="B48" s="216"/>
      <c r="C48" s="124">
        <v>500.0</v>
      </c>
      <c r="D48" s="124">
        <v>2.0</v>
      </c>
      <c r="E48" s="171">
        <f t="shared" si="23"/>
        <v>250</v>
      </c>
      <c r="F48" s="243">
        <v>0.16</v>
      </c>
      <c r="G48" s="244">
        <f t="shared" si="24"/>
        <v>40</v>
      </c>
      <c r="H48" s="245">
        <v>0.06</v>
      </c>
      <c r="I48" s="127">
        <f t="shared" si="25"/>
        <v>15</v>
      </c>
      <c r="J48" s="125">
        <v>15.0</v>
      </c>
      <c r="K48" s="125">
        <v>0.0</v>
      </c>
      <c r="L48" s="125">
        <v>0.0</v>
      </c>
      <c r="M48" s="127">
        <f t="shared" si="26"/>
        <v>70</v>
      </c>
      <c r="N48" s="246">
        <v>3.0</v>
      </c>
      <c r="O48" s="213">
        <f t="shared" si="27"/>
        <v>280</v>
      </c>
      <c r="P48" s="146"/>
    </row>
    <row r="49" ht="22.5" customHeight="1">
      <c r="A49" s="215"/>
      <c r="B49" s="216"/>
      <c r="C49" s="124">
        <v>750.0</v>
      </c>
      <c r="D49" s="124">
        <v>2.0</v>
      </c>
      <c r="E49" s="171">
        <f t="shared" si="23"/>
        <v>375</v>
      </c>
      <c r="F49" s="243">
        <v>0.16</v>
      </c>
      <c r="G49" s="244">
        <f t="shared" si="24"/>
        <v>60</v>
      </c>
      <c r="H49" s="245">
        <v>0.06</v>
      </c>
      <c r="I49" s="127">
        <f t="shared" si="25"/>
        <v>22.5</v>
      </c>
      <c r="J49" s="125">
        <v>15.0</v>
      </c>
      <c r="K49" s="125">
        <v>0.0</v>
      </c>
      <c r="L49" s="125">
        <v>0.0</v>
      </c>
      <c r="M49" s="127">
        <f t="shared" si="26"/>
        <v>97.5</v>
      </c>
      <c r="N49" s="246">
        <v>3.0</v>
      </c>
      <c r="O49" s="213">
        <f t="shared" si="27"/>
        <v>390</v>
      </c>
      <c r="P49" s="146"/>
    </row>
    <row r="50" ht="22.5" customHeight="1">
      <c r="A50" s="225"/>
      <c r="B50" s="226"/>
      <c r="C50" s="124">
        <v>1000.0</v>
      </c>
      <c r="D50" s="124">
        <v>2.0</v>
      </c>
      <c r="E50" s="171">
        <f t="shared" si="23"/>
        <v>500</v>
      </c>
      <c r="F50" s="243">
        <v>0.16</v>
      </c>
      <c r="G50" s="244">
        <f t="shared" si="24"/>
        <v>80</v>
      </c>
      <c r="H50" s="245">
        <v>0.06</v>
      </c>
      <c r="I50" s="127">
        <f t="shared" si="25"/>
        <v>30</v>
      </c>
      <c r="J50" s="125">
        <v>15.0</v>
      </c>
      <c r="K50" s="125">
        <v>0.0</v>
      </c>
      <c r="L50" s="125">
        <v>0.0</v>
      </c>
      <c r="M50" s="127">
        <f t="shared" si="26"/>
        <v>125</v>
      </c>
      <c r="N50" s="246">
        <v>3.0</v>
      </c>
      <c r="O50" s="213">
        <f t="shared" si="27"/>
        <v>500</v>
      </c>
      <c r="P50" s="146"/>
    </row>
    <row r="51" ht="7.5" customHeight="1">
      <c r="A51" s="239"/>
      <c r="B51" s="239"/>
      <c r="C51" s="239"/>
      <c r="D51" s="239"/>
      <c r="E51" s="239"/>
      <c r="F51" s="240"/>
      <c r="G51" s="239"/>
      <c r="H51" s="241"/>
      <c r="I51" s="241"/>
      <c r="J51" s="239"/>
      <c r="K51" s="239"/>
      <c r="L51" s="239"/>
      <c r="M51" s="239"/>
      <c r="N51" s="239"/>
      <c r="O51" s="239"/>
      <c r="P51" s="236"/>
      <c r="Q51" s="235"/>
    </row>
    <row r="52" ht="22.5" customHeight="1">
      <c r="A52" s="242" t="s">
        <v>143</v>
      </c>
      <c r="B52" s="207"/>
      <c r="C52" s="124">
        <v>50.0</v>
      </c>
      <c r="D52" s="124">
        <v>2.0</v>
      </c>
      <c r="E52" s="171">
        <f t="shared" ref="E52:E57" si="28">SUM(C52/D52)</f>
        <v>25</v>
      </c>
      <c r="F52" s="243">
        <v>0.09</v>
      </c>
      <c r="G52" s="244">
        <f t="shared" ref="G52:G57" si="29">SUM(F52*E52)</f>
        <v>2.25</v>
      </c>
      <c r="H52" s="245">
        <v>0.06</v>
      </c>
      <c r="I52" s="127">
        <f t="shared" ref="I52:I57" si="30">SUM(E52*H52)</f>
        <v>1.5</v>
      </c>
      <c r="J52" s="125">
        <v>5.0</v>
      </c>
      <c r="K52" s="125">
        <v>0.0</v>
      </c>
      <c r="L52" s="125">
        <v>0.0</v>
      </c>
      <c r="M52" s="127">
        <f t="shared" ref="M52:M57" si="31">SUM(G52+I52+J52+K52+L52)</f>
        <v>8.75</v>
      </c>
      <c r="N52" s="246">
        <v>3.0</v>
      </c>
      <c r="O52" s="213">
        <f t="shared" ref="O52:O57" si="32">SUM(M52*N52)+M52</f>
        <v>35</v>
      </c>
      <c r="P52" s="146"/>
    </row>
    <row r="53" ht="22.5" customHeight="1">
      <c r="A53" s="215"/>
      <c r="B53" s="216"/>
      <c r="C53" s="124">
        <v>100.0</v>
      </c>
      <c r="D53" s="124">
        <v>2.0</v>
      </c>
      <c r="E53" s="171">
        <f t="shared" si="28"/>
        <v>50</v>
      </c>
      <c r="F53" s="243">
        <v>0.09</v>
      </c>
      <c r="G53" s="244">
        <f t="shared" si="29"/>
        <v>4.5</v>
      </c>
      <c r="H53" s="245">
        <v>0.06</v>
      </c>
      <c r="I53" s="127">
        <f t="shared" si="30"/>
        <v>3</v>
      </c>
      <c r="J53" s="125">
        <v>5.0</v>
      </c>
      <c r="K53" s="125">
        <v>0.0</v>
      </c>
      <c r="L53" s="125">
        <v>0.0</v>
      </c>
      <c r="M53" s="127">
        <f t="shared" si="31"/>
        <v>12.5</v>
      </c>
      <c r="N53" s="246">
        <v>3.0</v>
      </c>
      <c r="O53" s="213">
        <f t="shared" si="32"/>
        <v>50</v>
      </c>
      <c r="P53" s="146"/>
    </row>
    <row r="54" ht="22.5" customHeight="1">
      <c r="A54" s="215"/>
      <c r="B54" s="216"/>
      <c r="C54" s="124">
        <v>250.0</v>
      </c>
      <c r="D54" s="124">
        <v>2.0</v>
      </c>
      <c r="E54" s="171">
        <f t="shared" si="28"/>
        <v>125</v>
      </c>
      <c r="F54" s="243">
        <v>0.09</v>
      </c>
      <c r="G54" s="244">
        <f t="shared" si="29"/>
        <v>11.25</v>
      </c>
      <c r="H54" s="245">
        <v>0.06</v>
      </c>
      <c r="I54" s="127">
        <f t="shared" si="30"/>
        <v>7.5</v>
      </c>
      <c r="J54" s="125">
        <v>5.0</v>
      </c>
      <c r="K54" s="125">
        <v>0.0</v>
      </c>
      <c r="L54" s="125">
        <v>0.0</v>
      </c>
      <c r="M54" s="127">
        <f t="shared" si="31"/>
        <v>23.75</v>
      </c>
      <c r="N54" s="246">
        <v>3.0</v>
      </c>
      <c r="O54" s="213">
        <f t="shared" si="32"/>
        <v>95</v>
      </c>
      <c r="P54" s="146"/>
    </row>
    <row r="55" ht="22.5" customHeight="1">
      <c r="A55" s="215"/>
      <c r="B55" s="216"/>
      <c r="C55" s="124">
        <v>500.0</v>
      </c>
      <c r="D55" s="124">
        <v>2.0</v>
      </c>
      <c r="E55" s="171">
        <f t="shared" si="28"/>
        <v>250</v>
      </c>
      <c r="F55" s="243">
        <v>0.09</v>
      </c>
      <c r="G55" s="244">
        <f t="shared" si="29"/>
        <v>22.5</v>
      </c>
      <c r="H55" s="245">
        <v>0.06</v>
      </c>
      <c r="I55" s="127">
        <f t="shared" si="30"/>
        <v>15</v>
      </c>
      <c r="J55" s="125">
        <v>15.0</v>
      </c>
      <c r="K55" s="125">
        <v>0.0</v>
      </c>
      <c r="L55" s="125">
        <v>0.0</v>
      </c>
      <c r="M55" s="127">
        <f t="shared" si="31"/>
        <v>52.5</v>
      </c>
      <c r="N55" s="246">
        <v>3.0</v>
      </c>
      <c r="O55" s="213">
        <f t="shared" si="32"/>
        <v>210</v>
      </c>
      <c r="P55" s="146"/>
    </row>
    <row r="56" ht="22.5" customHeight="1">
      <c r="A56" s="215"/>
      <c r="B56" s="216"/>
      <c r="C56" s="124">
        <v>750.0</v>
      </c>
      <c r="D56" s="124">
        <v>2.0</v>
      </c>
      <c r="E56" s="171">
        <f t="shared" si="28"/>
        <v>375</v>
      </c>
      <c r="F56" s="243">
        <v>0.09</v>
      </c>
      <c r="G56" s="244">
        <f t="shared" si="29"/>
        <v>33.75</v>
      </c>
      <c r="H56" s="245">
        <v>0.06</v>
      </c>
      <c r="I56" s="127">
        <f t="shared" si="30"/>
        <v>22.5</v>
      </c>
      <c r="J56" s="125">
        <v>15.0</v>
      </c>
      <c r="K56" s="125">
        <v>0.0</v>
      </c>
      <c r="L56" s="125">
        <v>0.0</v>
      </c>
      <c r="M56" s="127">
        <f t="shared" si="31"/>
        <v>71.25</v>
      </c>
      <c r="N56" s="246">
        <v>3.0</v>
      </c>
      <c r="O56" s="213">
        <f t="shared" si="32"/>
        <v>285</v>
      </c>
      <c r="P56" s="146"/>
    </row>
    <row r="57" ht="22.5" customHeight="1">
      <c r="A57" s="225"/>
      <c r="B57" s="226"/>
      <c r="C57" s="124">
        <v>1000.0</v>
      </c>
      <c r="D57" s="124">
        <v>2.0</v>
      </c>
      <c r="E57" s="171">
        <f t="shared" si="28"/>
        <v>500</v>
      </c>
      <c r="F57" s="243">
        <v>0.09</v>
      </c>
      <c r="G57" s="244">
        <f t="shared" si="29"/>
        <v>45</v>
      </c>
      <c r="H57" s="245">
        <v>0.06</v>
      </c>
      <c r="I57" s="127">
        <f t="shared" si="30"/>
        <v>30</v>
      </c>
      <c r="J57" s="125">
        <v>15.0</v>
      </c>
      <c r="K57" s="125">
        <v>0.0</v>
      </c>
      <c r="L57" s="125">
        <v>0.0</v>
      </c>
      <c r="M57" s="127">
        <f t="shared" si="31"/>
        <v>90</v>
      </c>
      <c r="N57" s="246">
        <v>3.0</v>
      </c>
      <c r="O57" s="213">
        <f t="shared" si="32"/>
        <v>360</v>
      </c>
      <c r="P57" s="146"/>
    </row>
    <row r="58" ht="7.5" customHeight="1">
      <c r="A58" s="239"/>
      <c r="B58" s="239"/>
      <c r="C58" s="239"/>
      <c r="D58" s="239"/>
      <c r="E58" s="239"/>
      <c r="F58" s="240"/>
      <c r="G58" s="239"/>
      <c r="H58" s="241"/>
      <c r="I58" s="241"/>
      <c r="J58" s="239"/>
      <c r="K58" s="239"/>
      <c r="L58" s="239"/>
      <c r="M58" s="239"/>
      <c r="N58" s="239"/>
      <c r="O58" s="239"/>
      <c r="P58" s="236"/>
      <c r="Q58" s="235"/>
    </row>
    <row r="59" ht="22.5" customHeight="1">
      <c r="A59" s="242" t="s">
        <v>144</v>
      </c>
      <c r="B59" s="207"/>
      <c r="C59" s="124">
        <v>50.0</v>
      </c>
      <c r="D59" s="124">
        <v>1.0</v>
      </c>
      <c r="E59" s="171">
        <f t="shared" ref="E59:E64" si="33">SUM(C59/D59)</f>
        <v>50</v>
      </c>
      <c r="F59" s="243">
        <v>0.09</v>
      </c>
      <c r="G59" s="244">
        <f t="shared" ref="G59:G64" si="34">SUM(F59*E59)</f>
        <v>4.5</v>
      </c>
      <c r="H59" s="245">
        <v>0.06</v>
      </c>
      <c r="I59" s="127">
        <f t="shared" ref="I59:I64" si="35">SUM(E59*H59)</f>
        <v>3</v>
      </c>
      <c r="J59" s="125">
        <v>5.0</v>
      </c>
      <c r="K59" s="125">
        <v>0.0</v>
      </c>
      <c r="L59" s="125">
        <v>0.0</v>
      </c>
      <c r="M59" s="127">
        <f t="shared" ref="M59:M64" si="36">SUM(G59+I59+J59+K59+L59)</f>
        <v>12.5</v>
      </c>
      <c r="N59" s="246">
        <v>3.0</v>
      </c>
      <c r="O59" s="213">
        <f t="shared" ref="O59:O64" si="37">SUM(M59*N59)+M59</f>
        <v>50</v>
      </c>
      <c r="P59" s="146"/>
    </row>
    <row r="60" ht="22.5" customHeight="1">
      <c r="A60" s="215"/>
      <c r="B60" s="216"/>
      <c r="C60" s="124">
        <v>100.0</v>
      </c>
      <c r="D60" s="124">
        <v>1.0</v>
      </c>
      <c r="E60" s="171">
        <f t="shared" si="33"/>
        <v>100</v>
      </c>
      <c r="F60" s="243">
        <v>0.09</v>
      </c>
      <c r="G60" s="244">
        <f t="shared" si="34"/>
        <v>9</v>
      </c>
      <c r="H60" s="245">
        <v>0.06</v>
      </c>
      <c r="I60" s="127">
        <f t="shared" si="35"/>
        <v>6</v>
      </c>
      <c r="J60" s="125">
        <v>0.0</v>
      </c>
      <c r="K60" s="125">
        <v>0.0</v>
      </c>
      <c r="L60" s="125">
        <v>0.0</v>
      </c>
      <c r="M60" s="127">
        <f t="shared" si="36"/>
        <v>15</v>
      </c>
      <c r="N60" s="246">
        <v>3.0</v>
      </c>
      <c r="O60" s="213">
        <f t="shared" si="37"/>
        <v>60</v>
      </c>
      <c r="P60" s="146"/>
    </row>
    <row r="61" ht="22.5" customHeight="1">
      <c r="A61" s="215"/>
      <c r="B61" s="216"/>
      <c r="C61" s="124">
        <v>250.0</v>
      </c>
      <c r="D61" s="124">
        <v>1.0</v>
      </c>
      <c r="E61" s="171">
        <f t="shared" si="33"/>
        <v>250</v>
      </c>
      <c r="F61" s="243">
        <v>0.09</v>
      </c>
      <c r="G61" s="244">
        <f t="shared" si="34"/>
        <v>22.5</v>
      </c>
      <c r="H61" s="245">
        <v>0.14</v>
      </c>
      <c r="I61" s="127">
        <f t="shared" si="35"/>
        <v>35</v>
      </c>
      <c r="J61" s="125">
        <v>15.0</v>
      </c>
      <c r="K61" s="125">
        <v>0.0</v>
      </c>
      <c r="L61" s="125">
        <v>0.0</v>
      </c>
      <c r="M61" s="127">
        <f t="shared" si="36"/>
        <v>72.5</v>
      </c>
      <c r="N61" s="246">
        <v>3.0</v>
      </c>
      <c r="O61" s="213">
        <f t="shared" si="37"/>
        <v>290</v>
      </c>
      <c r="P61" s="247">
        <f>O61/C61</f>
        <v>1.16</v>
      </c>
    </row>
    <row r="62" ht="22.5" customHeight="1">
      <c r="A62" s="215"/>
      <c r="B62" s="216"/>
      <c r="C62" s="124">
        <v>500.0</v>
      </c>
      <c r="D62" s="124">
        <v>1.0</v>
      </c>
      <c r="E62" s="171">
        <f t="shared" si="33"/>
        <v>500</v>
      </c>
      <c r="F62" s="243">
        <v>0.09</v>
      </c>
      <c r="G62" s="244">
        <f t="shared" si="34"/>
        <v>45</v>
      </c>
      <c r="H62" s="245">
        <v>0.06</v>
      </c>
      <c r="I62" s="127">
        <f t="shared" si="35"/>
        <v>30</v>
      </c>
      <c r="J62" s="125">
        <v>15.0</v>
      </c>
      <c r="K62" s="125">
        <v>0.0</v>
      </c>
      <c r="L62" s="125">
        <v>0.0</v>
      </c>
      <c r="M62" s="127">
        <f t="shared" si="36"/>
        <v>90</v>
      </c>
      <c r="N62" s="246">
        <v>3.0</v>
      </c>
      <c r="O62" s="213">
        <f t="shared" si="37"/>
        <v>360</v>
      </c>
      <c r="P62" s="146"/>
    </row>
    <row r="63" ht="22.5" customHeight="1">
      <c r="A63" s="215"/>
      <c r="B63" s="216"/>
      <c r="C63" s="124">
        <v>750.0</v>
      </c>
      <c r="D63" s="124">
        <v>1.0</v>
      </c>
      <c r="E63" s="171">
        <f t="shared" si="33"/>
        <v>750</v>
      </c>
      <c r="F63" s="243">
        <v>0.09</v>
      </c>
      <c r="G63" s="244">
        <f t="shared" si="34"/>
        <v>67.5</v>
      </c>
      <c r="H63" s="245">
        <v>0.06</v>
      </c>
      <c r="I63" s="127">
        <f t="shared" si="35"/>
        <v>45</v>
      </c>
      <c r="J63" s="125">
        <v>15.0</v>
      </c>
      <c r="K63" s="125">
        <v>0.0</v>
      </c>
      <c r="L63" s="125">
        <v>0.0</v>
      </c>
      <c r="M63" s="127">
        <f t="shared" si="36"/>
        <v>127.5</v>
      </c>
      <c r="N63" s="246">
        <v>3.0</v>
      </c>
      <c r="O63" s="213">
        <f t="shared" si="37"/>
        <v>510</v>
      </c>
      <c r="P63" s="146"/>
    </row>
    <row r="64" ht="22.5" customHeight="1">
      <c r="A64" s="225"/>
      <c r="B64" s="226"/>
      <c r="C64" s="124">
        <v>1000.0</v>
      </c>
      <c r="D64" s="124">
        <v>1.0</v>
      </c>
      <c r="E64" s="171">
        <f t="shared" si="33"/>
        <v>1000</v>
      </c>
      <c r="F64" s="243">
        <v>0.09</v>
      </c>
      <c r="G64" s="244">
        <f t="shared" si="34"/>
        <v>90</v>
      </c>
      <c r="H64" s="245">
        <v>0.06</v>
      </c>
      <c r="I64" s="127">
        <f t="shared" si="35"/>
        <v>60</v>
      </c>
      <c r="J64" s="125">
        <v>15.0</v>
      </c>
      <c r="K64" s="125">
        <v>0.0</v>
      </c>
      <c r="L64" s="125">
        <v>0.0</v>
      </c>
      <c r="M64" s="127">
        <f t="shared" si="36"/>
        <v>165</v>
      </c>
      <c r="N64" s="246">
        <v>3.0</v>
      </c>
      <c r="O64" s="213">
        <f t="shared" si="37"/>
        <v>660</v>
      </c>
      <c r="P64" s="146"/>
    </row>
    <row r="65" ht="7.5" customHeight="1">
      <c r="A65" s="235"/>
      <c r="B65" s="235"/>
      <c r="C65" s="235"/>
      <c r="D65" s="235"/>
      <c r="E65" s="235"/>
      <c r="F65" s="248"/>
      <c r="G65" s="235"/>
      <c r="H65" s="249"/>
      <c r="I65" s="249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</row>
    <row r="66" ht="30.0" customHeight="1">
      <c r="A66" s="250" t="s">
        <v>145</v>
      </c>
      <c r="B66" s="250" t="s">
        <v>146</v>
      </c>
      <c r="C66" s="251">
        <v>700.0</v>
      </c>
      <c r="D66" s="165">
        <v>4.0</v>
      </c>
      <c r="E66" s="167">
        <f t="shared" ref="E66:E67" si="38">SUM(C66/D66)</f>
        <v>175</v>
      </c>
      <c r="F66" s="252">
        <v>0.16</v>
      </c>
      <c r="G66" s="253">
        <f t="shared" ref="G66:G67" si="39">SUM(F66*E66)</f>
        <v>28</v>
      </c>
      <c r="H66" s="254">
        <v>0.11</v>
      </c>
      <c r="I66" s="169">
        <f t="shared" ref="I66:I67" si="40">SUM(E66*H66)</f>
        <v>19.25</v>
      </c>
      <c r="J66" s="166">
        <v>15.0</v>
      </c>
      <c r="K66" s="168">
        <v>0.0</v>
      </c>
      <c r="L66" s="168">
        <v>0.0</v>
      </c>
      <c r="M66" s="169">
        <f t="shared" ref="M66:M67" si="41">SUM(G66+I66+J66+K66+L66)</f>
        <v>62.25</v>
      </c>
      <c r="N66" s="255">
        <v>3.0</v>
      </c>
      <c r="O66" s="213">
        <f t="shared" ref="O66:O67" si="42">SUM(M66*N66)+M66</f>
        <v>249</v>
      </c>
    </row>
    <row r="67" ht="30.0" customHeight="1">
      <c r="A67" s="250" t="s">
        <v>147</v>
      </c>
      <c r="B67" s="250" t="s">
        <v>148</v>
      </c>
      <c r="C67" s="251">
        <v>600.0</v>
      </c>
      <c r="D67" s="165">
        <v>6.0</v>
      </c>
      <c r="E67" s="167">
        <f t="shared" si="38"/>
        <v>100</v>
      </c>
      <c r="F67" s="252">
        <v>0.09</v>
      </c>
      <c r="G67" s="253">
        <f t="shared" si="39"/>
        <v>9</v>
      </c>
      <c r="H67" s="254">
        <v>0.38</v>
      </c>
      <c r="I67" s="169">
        <f t="shared" si="40"/>
        <v>38</v>
      </c>
      <c r="J67" s="166">
        <v>15.0</v>
      </c>
      <c r="K67" s="168">
        <v>0.0</v>
      </c>
      <c r="L67" s="168">
        <v>0.0</v>
      </c>
      <c r="M67" s="169">
        <f t="shared" si="41"/>
        <v>62</v>
      </c>
      <c r="N67" s="256">
        <v>2.0</v>
      </c>
      <c r="O67" s="213">
        <f t="shared" si="42"/>
        <v>186</v>
      </c>
    </row>
    <row r="68" ht="7.5" customHeight="1">
      <c r="A68" s="257"/>
      <c r="B68" s="257" t="s">
        <v>149</v>
      </c>
      <c r="C68" s="258"/>
      <c r="D68" s="259"/>
      <c r="E68" s="260"/>
      <c r="F68" s="261"/>
      <c r="G68" s="262"/>
      <c r="H68" s="263"/>
      <c r="I68" s="264"/>
      <c r="J68" s="261"/>
      <c r="K68" s="262"/>
      <c r="L68" s="262"/>
      <c r="M68" s="264"/>
      <c r="N68" s="26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</row>
    <row r="69" ht="30.0" customHeight="1">
      <c r="A69" s="250" t="s">
        <v>150</v>
      </c>
      <c r="B69" s="250" t="s">
        <v>151</v>
      </c>
      <c r="C69" s="251">
        <v>300.0</v>
      </c>
      <c r="D69" s="165">
        <v>16.0</v>
      </c>
      <c r="E69" s="167">
        <f t="shared" ref="E69:E78" si="43">SUM(C69/D69)</f>
        <v>18.75</v>
      </c>
      <c r="F69" s="252">
        <v>0.16</v>
      </c>
      <c r="G69" s="253">
        <f t="shared" ref="G69:G78" si="44">SUM(F69*E69)</f>
        <v>3</v>
      </c>
      <c r="H69" s="254">
        <v>0.06</v>
      </c>
      <c r="I69" s="169">
        <f t="shared" ref="I69:I78" si="45">SUM(E69*H69)</f>
        <v>1.125</v>
      </c>
      <c r="J69" s="166">
        <v>5.0</v>
      </c>
      <c r="K69" s="168">
        <v>0.0</v>
      </c>
      <c r="L69" s="168">
        <v>0.0</v>
      </c>
      <c r="M69" s="169">
        <f t="shared" ref="M69:M78" si="46">SUM(G69+I69+J69+K69+L69)</f>
        <v>9.125</v>
      </c>
      <c r="N69" s="256">
        <v>3.0</v>
      </c>
      <c r="O69" s="213">
        <f t="shared" ref="O69:O76" si="47">SUM(M69*N69)+M69</f>
        <v>36.5</v>
      </c>
    </row>
    <row r="70" ht="30.0" customHeight="1">
      <c r="A70" s="250" t="s">
        <v>150</v>
      </c>
      <c r="B70" s="250" t="s">
        <v>152</v>
      </c>
      <c r="C70" s="251">
        <v>100.0</v>
      </c>
      <c r="D70" s="165">
        <v>8.0</v>
      </c>
      <c r="E70" s="167">
        <f t="shared" si="43"/>
        <v>12.5</v>
      </c>
      <c r="F70" s="252">
        <v>0.16</v>
      </c>
      <c r="G70" s="253">
        <f t="shared" si="44"/>
        <v>2</v>
      </c>
      <c r="H70" s="254">
        <v>0.073</v>
      </c>
      <c r="I70" s="169">
        <f t="shared" si="45"/>
        <v>0.9125</v>
      </c>
      <c r="J70" s="166">
        <v>5.0</v>
      </c>
      <c r="K70" s="168">
        <v>0.0</v>
      </c>
      <c r="L70" s="168">
        <v>0.0</v>
      </c>
      <c r="M70" s="169">
        <f t="shared" si="46"/>
        <v>7.9125</v>
      </c>
      <c r="N70" s="256">
        <v>3.0</v>
      </c>
      <c r="O70" s="213">
        <f t="shared" si="47"/>
        <v>31.65</v>
      </c>
    </row>
    <row r="71" ht="30.0" customHeight="1">
      <c r="A71" s="250" t="s">
        <v>150</v>
      </c>
      <c r="B71" s="250" t="s">
        <v>153</v>
      </c>
      <c r="C71" s="251">
        <v>30.0</v>
      </c>
      <c r="D71" s="165">
        <v>1.0</v>
      </c>
      <c r="E71" s="167">
        <f t="shared" si="43"/>
        <v>30</v>
      </c>
      <c r="F71" s="252">
        <v>0.09</v>
      </c>
      <c r="G71" s="253">
        <f t="shared" si="44"/>
        <v>2.7</v>
      </c>
      <c r="H71" s="254">
        <v>0.073</v>
      </c>
      <c r="I71" s="169">
        <f t="shared" si="45"/>
        <v>2.19</v>
      </c>
      <c r="J71" s="166">
        <v>5.0</v>
      </c>
      <c r="K71" s="168">
        <v>0.0</v>
      </c>
      <c r="L71" s="168">
        <v>0.0</v>
      </c>
      <c r="M71" s="169">
        <f t="shared" si="46"/>
        <v>9.89</v>
      </c>
      <c r="N71" s="256">
        <v>3.0</v>
      </c>
      <c r="O71" s="213">
        <f t="shared" si="47"/>
        <v>39.56</v>
      </c>
    </row>
    <row r="72" ht="30.0" customHeight="1">
      <c r="A72" s="250" t="s">
        <v>150</v>
      </c>
      <c r="B72" s="250" t="s">
        <v>154</v>
      </c>
      <c r="C72" s="251">
        <v>300.0</v>
      </c>
      <c r="D72" s="165">
        <v>15.0</v>
      </c>
      <c r="E72" s="167">
        <f t="shared" si="43"/>
        <v>20</v>
      </c>
      <c r="F72" s="252">
        <v>0.09</v>
      </c>
      <c r="G72" s="253">
        <f t="shared" si="44"/>
        <v>1.8</v>
      </c>
      <c r="H72" s="254">
        <v>0.38</v>
      </c>
      <c r="I72" s="169">
        <f t="shared" si="45"/>
        <v>7.6</v>
      </c>
      <c r="J72" s="166">
        <v>15.0</v>
      </c>
      <c r="K72" s="168">
        <v>0.0</v>
      </c>
      <c r="L72" s="168">
        <v>0.0</v>
      </c>
      <c r="M72" s="169">
        <f t="shared" si="46"/>
        <v>24.4</v>
      </c>
      <c r="N72" s="256">
        <v>3.0</v>
      </c>
      <c r="O72" s="213">
        <f t="shared" si="47"/>
        <v>97.6</v>
      </c>
    </row>
    <row r="73" ht="30.0" customHeight="1">
      <c r="A73" s="250" t="s">
        <v>150</v>
      </c>
      <c r="B73" s="250" t="s">
        <v>155</v>
      </c>
      <c r="C73" s="251">
        <v>200.0</v>
      </c>
      <c r="D73" s="165">
        <v>15.0</v>
      </c>
      <c r="E73" s="167">
        <f t="shared" si="43"/>
        <v>13.33333333</v>
      </c>
      <c r="F73" s="252">
        <v>0.09</v>
      </c>
      <c r="G73" s="253">
        <f t="shared" si="44"/>
        <v>1.2</v>
      </c>
      <c r="H73" s="254">
        <v>0.11</v>
      </c>
      <c r="I73" s="169">
        <f t="shared" si="45"/>
        <v>1.466666667</v>
      </c>
      <c r="J73" s="166">
        <v>5.0</v>
      </c>
      <c r="K73" s="168">
        <v>0.0</v>
      </c>
      <c r="L73" s="168">
        <v>0.0</v>
      </c>
      <c r="M73" s="169">
        <f t="shared" si="46"/>
        <v>7.666666667</v>
      </c>
      <c r="N73" s="256">
        <v>3.0</v>
      </c>
      <c r="O73" s="213">
        <f t="shared" si="47"/>
        <v>30.66666667</v>
      </c>
    </row>
    <row r="74" ht="30.0" customHeight="1">
      <c r="A74" s="250" t="s">
        <v>150</v>
      </c>
      <c r="B74" s="250" t="s">
        <v>156</v>
      </c>
      <c r="C74" s="251">
        <v>400.0</v>
      </c>
      <c r="D74" s="165">
        <v>16.0</v>
      </c>
      <c r="E74" s="167">
        <f t="shared" si="43"/>
        <v>25</v>
      </c>
      <c r="F74" s="252">
        <v>0.16</v>
      </c>
      <c r="G74" s="253">
        <f t="shared" si="44"/>
        <v>4</v>
      </c>
      <c r="H74" s="254">
        <v>0.073</v>
      </c>
      <c r="I74" s="169">
        <f t="shared" si="45"/>
        <v>1.825</v>
      </c>
      <c r="J74" s="166">
        <v>15.0</v>
      </c>
      <c r="K74" s="168">
        <v>0.0</v>
      </c>
      <c r="L74" s="168">
        <v>0.0</v>
      </c>
      <c r="M74" s="169">
        <f t="shared" si="46"/>
        <v>20.825</v>
      </c>
      <c r="N74" s="256">
        <v>3.0</v>
      </c>
      <c r="O74" s="213">
        <f t="shared" si="47"/>
        <v>83.3</v>
      </c>
    </row>
    <row r="75" ht="30.0" customHeight="1">
      <c r="A75" s="250" t="s">
        <v>150</v>
      </c>
      <c r="B75" s="250" t="s">
        <v>157</v>
      </c>
      <c r="C75" s="251">
        <v>100.0</v>
      </c>
      <c r="D75" s="165">
        <v>9.0</v>
      </c>
      <c r="E75" s="167">
        <f t="shared" si="43"/>
        <v>11.11111111</v>
      </c>
      <c r="F75" s="252">
        <v>0.16</v>
      </c>
      <c r="G75" s="253">
        <f t="shared" si="44"/>
        <v>1.777777778</v>
      </c>
      <c r="H75" s="254">
        <v>0.073</v>
      </c>
      <c r="I75" s="169">
        <f t="shared" si="45"/>
        <v>0.8111111111</v>
      </c>
      <c r="J75" s="166">
        <v>5.0</v>
      </c>
      <c r="K75" s="168">
        <v>0.0</v>
      </c>
      <c r="L75" s="168">
        <v>0.0</v>
      </c>
      <c r="M75" s="169">
        <f t="shared" si="46"/>
        <v>7.588888889</v>
      </c>
      <c r="N75" s="256">
        <v>3.0</v>
      </c>
      <c r="O75" s="213">
        <f t="shared" si="47"/>
        <v>30.35555556</v>
      </c>
    </row>
    <row r="76" ht="30.0" customHeight="1">
      <c r="A76" s="250" t="s">
        <v>150</v>
      </c>
      <c r="B76" s="250" t="s">
        <v>158</v>
      </c>
      <c r="C76" s="251">
        <v>200.0</v>
      </c>
      <c r="D76" s="165">
        <v>6.0</v>
      </c>
      <c r="E76" s="167">
        <f t="shared" si="43"/>
        <v>33.33333333</v>
      </c>
      <c r="F76" s="252">
        <v>0.09</v>
      </c>
      <c r="G76" s="253">
        <f t="shared" si="44"/>
        <v>3</v>
      </c>
      <c r="H76" s="254">
        <v>0.11</v>
      </c>
      <c r="I76" s="169">
        <f t="shared" si="45"/>
        <v>3.666666667</v>
      </c>
      <c r="J76" s="166">
        <v>5.0</v>
      </c>
      <c r="K76" s="168">
        <v>0.0</v>
      </c>
      <c r="L76" s="168">
        <v>0.0</v>
      </c>
      <c r="M76" s="169">
        <f t="shared" si="46"/>
        <v>11.66666667</v>
      </c>
      <c r="N76" s="256">
        <v>3.0</v>
      </c>
      <c r="O76" s="213">
        <f t="shared" si="47"/>
        <v>46.66666667</v>
      </c>
    </row>
    <row r="77" ht="7.5" customHeight="1">
      <c r="A77" s="257"/>
      <c r="B77" s="257"/>
      <c r="C77" s="258">
        <v>0.0</v>
      </c>
      <c r="D77" s="259">
        <v>0.0</v>
      </c>
      <c r="E77" s="260" t="str">
        <f t="shared" si="43"/>
        <v>#DIV/0!</v>
      </c>
      <c r="F77" s="261">
        <v>0.09</v>
      </c>
      <c r="G77" s="262" t="str">
        <f t="shared" si="44"/>
        <v>#DIV/0!</v>
      </c>
      <c r="H77" s="263">
        <v>0.0</v>
      </c>
      <c r="I77" s="264" t="str">
        <f t="shared" si="45"/>
        <v>#DIV/0!</v>
      </c>
      <c r="J77" s="261">
        <v>15.0</v>
      </c>
      <c r="K77" s="262">
        <v>0.0</v>
      </c>
      <c r="L77" s="266"/>
      <c r="M77" s="264" t="str">
        <f t="shared" si="46"/>
        <v>#DIV/0!</v>
      </c>
      <c r="N77" s="265">
        <v>3.0</v>
      </c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</row>
    <row r="78" ht="30.0" customHeight="1">
      <c r="A78" s="250" t="s">
        <v>159</v>
      </c>
      <c r="B78" s="250" t="s">
        <v>160</v>
      </c>
      <c r="C78" s="251">
        <v>3000.0</v>
      </c>
      <c r="D78" s="165">
        <v>2.0</v>
      </c>
      <c r="E78" s="167">
        <f t="shared" si="43"/>
        <v>1500</v>
      </c>
      <c r="F78" s="252">
        <v>0.16</v>
      </c>
      <c r="G78" s="253">
        <f t="shared" si="44"/>
        <v>240</v>
      </c>
      <c r="H78" s="254">
        <v>0.11</v>
      </c>
      <c r="I78" s="169">
        <f t="shared" si="45"/>
        <v>165</v>
      </c>
      <c r="J78" s="166">
        <v>15.0</v>
      </c>
      <c r="K78" s="168">
        <v>0.0</v>
      </c>
      <c r="L78" s="166">
        <v>550.0</v>
      </c>
      <c r="M78" s="169">
        <f t="shared" si="46"/>
        <v>970</v>
      </c>
      <c r="N78" s="256">
        <v>1.5</v>
      </c>
      <c r="O78" s="213">
        <f t="shared" ref="O78:O84" si="48">SUM((M78*N78)+M78)</f>
        <v>2425</v>
      </c>
      <c r="P78" s="27">
        <f>O78/C78</f>
        <v>0.8083333333</v>
      </c>
    </row>
    <row r="79" ht="7.5" customHeight="1">
      <c r="A79" s="257"/>
      <c r="B79" s="257"/>
      <c r="C79" s="258"/>
      <c r="D79" s="259"/>
      <c r="E79" s="260"/>
      <c r="F79" s="261"/>
      <c r="G79" s="262"/>
      <c r="H79" s="263"/>
      <c r="I79" s="264"/>
      <c r="J79" s="261"/>
      <c r="K79" s="262"/>
      <c r="L79" s="261"/>
      <c r="M79" s="264"/>
      <c r="N79" s="265"/>
      <c r="O79" s="267">
        <f t="shared" si="48"/>
        <v>0</v>
      </c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</row>
    <row r="80" ht="30.0" customHeight="1">
      <c r="A80" s="250" t="s">
        <v>161</v>
      </c>
      <c r="B80" s="250" t="s">
        <v>162</v>
      </c>
      <c r="C80" s="251">
        <v>160.0</v>
      </c>
      <c r="D80" s="165">
        <v>2.0</v>
      </c>
      <c r="E80" s="167">
        <f t="shared" ref="E80:E84" si="49">SUM(C80/D80)</f>
        <v>80</v>
      </c>
      <c r="F80" s="252">
        <v>0.16</v>
      </c>
      <c r="G80" s="253">
        <f t="shared" ref="G80:G84" si="50">SUM(F80*E80)</f>
        <v>12.8</v>
      </c>
      <c r="H80" s="254">
        <v>0.06</v>
      </c>
      <c r="I80" s="169">
        <f t="shared" ref="I80:I84" si="51">SUM(E80*H80)</f>
        <v>4.8</v>
      </c>
      <c r="J80" s="166">
        <v>15.0</v>
      </c>
      <c r="K80" s="166">
        <v>25.0</v>
      </c>
      <c r="L80" s="166">
        <v>44.0</v>
      </c>
      <c r="M80" s="169">
        <f t="shared" ref="M80:M84" si="52">SUM(G80+I80+J80+K80+L80)</f>
        <v>101.6</v>
      </c>
      <c r="N80" s="256">
        <v>3.0</v>
      </c>
      <c r="O80" s="213">
        <f t="shared" si="48"/>
        <v>406.4</v>
      </c>
      <c r="P80" s="27">
        <f t="shared" ref="P80:P84" si="53">O80/C80</f>
        <v>2.54</v>
      </c>
    </row>
    <row r="81" ht="30.0" customHeight="1">
      <c r="A81" s="250" t="s">
        <v>163</v>
      </c>
      <c r="B81" s="250" t="s">
        <v>164</v>
      </c>
      <c r="C81" s="251">
        <v>850.0</v>
      </c>
      <c r="D81" s="165">
        <v>4.0</v>
      </c>
      <c r="E81" s="167">
        <f t="shared" si="49"/>
        <v>212.5</v>
      </c>
      <c r="F81" s="252">
        <v>0.16</v>
      </c>
      <c r="G81" s="253">
        <f t="shared" si="50"/>
        <v>34</v>
      </c>
      <c r="H81" s="254">
        <v>0.18</v>
      </c>
      <c r="I81" s="169">
        <f t="shared" si="51"/>
        <v>38.25</v>
      </c>
      <c r="J81" s="166">
        <v>35.0</v>
      </c>
      <c r="K81" s="166">
        <v>68.16</v>
      </c>
      <c r="L81" s="166">
        <v>0.0</v>
      </c>
      <c r="M81" s="169">
        <f t="shared" si="52"/>
        <v>175.41</v>
      </c>
      <c r="N81" s="256">
        <v>3.0</v>
      </c>
      <c r="O81" s="213">
        <f t="shared" si="48"/>
        <v>701.64</v>
      </c>
      <c r="P81" s="27">
        <f t="shared" si="53"/>
        <v>0.8254588235</v>
      </c>
      <c r="Q81" s="27">
        <f t="shared" ref="Q81:Q84" si="54">M81/C81</f>
        <v>0.2063647059</v>
      </c>
    </row>
    <row r="82" ht="30.0" customHeight="1">
      <c r="A82" s="250" t="s">
        <v>163</v>
      </c>
      <c r="B82" s="250" t="s">
        <v>165</v>
      </c>
      <c r="C82" s="251">
        <v>850.0</v>
      </c>
      <c r="D82" s="165">
        <v>4.0</v>
      </c>
      <c r="E82" s="167">
        <f t="shared" si="49"/>
        <v>212.5</v>
      </c>
      <c r="F82" s="252">
        <v>0.16</v>
      </c>
      <c r="G82" s="253">
        <f t="shared" si="50"/>
        <v>34</v>
      </c>
      <c r="H82" s="254">
        <v>0.18</v>
      </c>
      <c r="I82" s="169">
        <f t="shared" si="51"/>
        <v>38.25</v>
      </c>
      <c r="J82" s="166">
        <v>35.0</v>
      </c>
      <c r="K82" s="166">
        <v>0.0</v>
      </c>
      <c r="L82" s="166">
        <v>0.0</v>
      </c>
      <c r="M82" s="169">
        <f t="shared" si="52"/>
        <v>107.25</v>
      </c>
      <c r="N82" s="256">
        <v>3.0</v>
      </c>
      <c r="O82" s="213">
        <f t="shared" si="48"/>
        <v>429</v>
      </c>
      <c r="P82" s="27">
        <f t="shared" si="53"/>
        <v>0.5047058824</v>
      </c>
      <c r="Q82" s="27">
        <f t="shared" si="54"/>
        <v>0.1261764706</v>
      </c>
    </row>
    <row r="83" ht="30.0" customHeight="1">
      <c r="A83" s="154" t="s">
        <v>163</v>
      </c>
      <c r="B83" s="172" t="s">
        <v>166</v>
      </c>
      <c r="C83" s="156">
        <v>860.0</v>
      </c>
      <c r="D83" s="208">
        <v>2.0</v>
      </c>
      <c r="E83" s="176">
        <f t="shared" si="49"/>
        <v>430</v>
      </c>
      <c r="F83" s="209">
        <v>0.16</v>
      </c>
      <c r="G83" s="210">
        <f t="shared" si="50"/>
        <v>68.8</v>
      </c>
      <c r="H83" s="211">
        <v>0.15</v>
      </c>
      <c r="I83" s="178">
        <f t="shared" si="51"/>
        <v>64.5</v>
      </c>
      <c r="J83" s="175">
        <v>105.0</v>
      </c>
      <c r="K83" s="175">
        <v>137.6</v>
      </c>
      <c r="L83" s="177">
        <v>0.0</v>
      </c>
      <c r="M83" s="178">
        <f t="shared" si="52"/>
        <v>375.9</v>
      </c>
      <c r="N83" s="212">
        <v>3.0</v>
      </c>
      <c r="O83" s="160">
        <f t="shared" si="48"/>
        <v>1503.6</v>
      </c>
      <c r="P83" s="268">
        <f t="shared" si="53"/>
        <v>1.748372093</v>
      </c>
      <c r="Q83" s="268">
        <f t="shared" si="54"/>
        <v>0.4370930233</v>
      </c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</row>
    <row r="84" ht="30.0" customHeight="1">
      <c r="A84" s="250" t="s">
        <v>163</v>
      </c>
      <c r="B84" s="250" t="s">
        <v>167</v>
      </c>
      <c r="C84" s="251">
        <v>860.0</v>
      </c>
      <c r="D84" s="165">
        <v>2.0</v>
      </c>
      <c r="E84" s="167">
        <f t="shared" si="49"/>
        <v>430</v>
      </c>
      <c r="F84" s="252">
        <v>0.16</v>
      </c>
      <c r="G84" s="253">
        <f t="shared" si="50"/>
        <v>68.8</v>
      </c>
      <c r="H84" s="254">
        <v>0.15</v>
      </c>
      <c r="I84" s="169">
        <f t="shared" si="51"/>
        <v>64.5</v>
      </c>
      <c r="J84" s="166">
        <v>105.0</v>
      </c>
      <c r="K84" s="166">
        <v>0.0</v>
      </c>
      <c r="L84" s="166">
        <v>0.0</v>
      </c>
      <c r="M84" s="169">
        <f t="shared" si="52"/>
        <v>238.3</v>
      </c>
      <c r="N84" s="256">
        <v>3.0</v>
      </c>
      <c r="O84" s="213">
        <f t="shared" si="48"/>
        <v>953.2</v>
      </c>
      <c r="P84" s="27">
        <f t="shared" si="53"/>
        <v>1.108372093</v>
      </c>
      <c r="Q84" s="27">
        <f t="shared" si="54"/>
        <v>0.2770930233</v>
      </c>
    </row>
    <row r="85" ht="7.5" customHeight="1">
      <c r="A85" s="257"/>
      <c r="B85" s="257"/>
      <c r="C85" s="258"/>
      <c r="D85" s="259"/>
      <c r="E85" s="260"/>
      <c r="F85" s="261"/>
      <c r="G85" s="262"/>
      <c r="H85" s="263"/>
      <c r="I85" s="264"/>
      <c r="J85" s="261"/>
      <c r="K85" s="262"/>
      <c r="L85" s="261"/>
      <c r="M85" s="264"/>
      <c r="N85" s="265"/>
      <c r="O85" s="267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  <c r="AE85" s="235"/>
    </row>
    <row r="86" ht="30.0" customHeight="1">
      <c r="A86" s="250" t="s">
        <v>168</v>
      </c>
      <c r="B86" s="250" t="s">
        <v>169</v>
      </c>
      <c r="C86" s="251">
        <v>16.0</v>
      </c>
      <c r="D86" s="165">
        <v>2.0</v>
      </c>
      <c r="E86" s="167">
        <f>SUM(C86/D86)</f>
        <v>8</v>
      </c>
      <c r="F86" s="252">
        <v>0.09</v>
      </c>
      <c r="G86" s="253">
        <f>SUM(F86*E86)</f>
        <v>0.72</v>
      </c>
      <c r="H86" s="254">
        <v>0.38</v>
      </c>
      <c r="I86" s="169">
        <f>SUM(E86*H86)</f>
        <v>3.04</v>
      </c>
      <c r="J86" s="166">
        <v>0.0</v>
      </c>
      <c r="K86" s="168">
        <v>0.0</v>
      </c>
      <c r="L86" s="168">
        <v>0.0</v>
      </c>
      <c r="M86" s="169">
        <f>SUM(G86+I86+J86+K86+L86)</f>
        <v>3.76</v>
      </c>
      <c r="N86" s="256">
        <v>3.0</v>
      </c>
      <c r="O86" s="213">
        <f>SUM((M86*N86)+M86)</f>
        <v>15.04</v>
      </c>
    </row>
    <row r="87" ht="7.5" customHeight="1">
      <c r="A87" s="257"/>
      <c r="B87" s="257"/>
      <c r="C87" s="258"/>
      <c r="D87" s="259"/>
      <c r="E87" s="260"/>
      <c r="F87" s="261"/>
      <c r="G87" s="262"/>
      <c r="H87" s="263"/>
      <c r="I87" s="264"/>
      <c r="J87" s="261"/>
      <c r="K87" s="262"/>
      <c r="L87" s="261"/>
      <c r="M87" s="264"/>
      <c r="N87" s="265"/>
      <c r="O87" s="267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</row>
    <row r="88" ht="30.0" customHeight="1">
      <c r="A88" s="250" t="s">
        <v>170</v>
      </c>
      <c r="B88" s="250" t="s">
        <v>171</v>
      </c>
      <c r="C88" s="251">
        <v>280.0</v>
      </c>
      <c r="D88" s="165">
        <v>8.0</v>
      </c>
      <c r="E88" s="167">
        <f>SUM(C88/D88)</f>
        <v>35</v>
      </c>
      <c r="F88" s="252">
        <v>0.16</v>
      </c>
      <c r="G88" s="253">
        <f>SUM(F88*E88)</f>
        <v>5.6</v>
      </c>
      <c r="H88" s="254">
        <v>0.38</v>
      </c>
      <c r="I88" s="169">
        <f>SUM(E88*H88)</f>
        <v>13.3</v>
      </c>
      <c r="J88" s="166">
        <v>5.0</v>
      </c>
      <c r="K88" s="168">
        <v>0.0</v>
      </c>
      <c r="L88" s="168">
        <v>0.0</v>
      </c>
      <c r="M88" s="169">
        <f>SUM(G88+I88+J88+K88+L88)</f>
        <v>23.9</v>
      </c>
      <c r="N88" s="256">
        <v>3.0</v>
      </c>
      <c r="O88" s="213">
        <f>SUM((M88*N88)+M88)</f>
        <v>95.6</v>
      </c>
    </row>
    <row r="89" ht="7.5" customHeight="1">
      <c r="A89" s="257"/>
      <c r="B89" s="257"/>
      <c r="C89" s="258"/>
      <c r="D89" s="259"/>
      <c r="E89" s="260"/>
      <c r="F89" s="261"/>
      <c r="G89" s="262"/>
      <c r="H89" s="263"/>
      <c r="I89" s="264"/>
      <c r="J89" s="261"/>
      <c r="K89" s="262"/>
      <c r="L89" s="261"/>
      <c r="M89" s="264"/>
      <c r="N89" s="265"/>
      <c r="O89" s="267"/>
      <c r="P89" s="235"/>
      <c r="Q89" s="235"/>
    </row>
    <row r="90" ht="30.0" customHeight="1">
      <c r="A90" s="250" t="s">
        <v>172</v>
      </c>
      <c r="B90" s="250" t="s">
        <v>173</v>
      </c>
      <c r="C90" s="251">
        <v>500.0</v>
      </c>
      <c r="D90" s="165">
        <v>6.0</v>
      </c>
      <c r="E90" s="167">
        <f t="shared" ref="E90:E120" si="55">SUM(C90/D90)</f>
        <v>83.33333333</v>
      </c>
      <c r="F90" s="252">
        <v>0.16</v>
      </c>
      <c r="G90" s="253">
        <f t="shared" ref="G90:G120" si="56">SUM(F90*E90)</f>
        <v>13.33333333</v>
      </c>
      <c r="H90" s="254">
        <v>0.06</v>
      </c>
      <c r="I90" s="169">
        <f t="shared" ref="I90:I120" si="57">SUM(E90*H90)</f>
        <v>5</v>
      </c>
      <c r="J90" s="166">
        <v>15.0</v>
      </c>
      <c r="K90" s="168">
        <v>0.0</v>
      </c>
      <c r="L90" s="168">
        <v>0.0</v>
      </c>
      <c r="M90" s="169">
        <f t="shared" ref="M90:M120" si="58">SUM(G90+I90+J90+K90+L90)</f>
        <v>33.33333333</v>
      </c>
      <c r="N90" s="256">
        <v>3.0</v>
      </c>
      <c r="O90" s="213">
        <f t="shared" ref="O90:O91" si="59">SUM((M90*N90)+M90)</f>
        <v>133.3333333</v>
      </c>
    </row>
    <row r="91" ht="30.0" customHeight="1">
      <c r="A91" s="250"/>
      <c r="B91" s="250" t="s">
        <v>173</v>
      </c>
      <c r="C91" s="251">
        <v>1000.0</v>
      </c>
      <c r="D91" s="165">
        <v>6.0</v>
      </c>
      <c r="E91" s="167">
        <f t="shared" si="55"/>
        <v>166.6666667</v>
      </c>
      <c r="F91" s="252">
        <v>0.16</v>
      </c>
      <c r="G91" s="253">
        <f t="shared" si="56"/>
        <v>26.66666667</v>
      </c>
      <c r="H91" s="254">
        <v>0.06</v>
      </c>
      <c r="I91" s="169">
        <f t="shared" si="57"/>
        <v>10</v>
      </c>
      <c r="J91" s="166">
        <v>15.0</v>
      </c>
      <c r="K91" s="168">
        <v>0.0</v>
      </c>
      <c r="L91" s="168">
        <v>0.0</v>
      </c>
      <c r="M91" s="169">
        <f t="shared" si="58"/>
        <v>51.66666667</v>
      </c>
      <c r="N91" s="256">
        <v>3.0</v>
      </c>
      <c r="O91" s="213">
        <f t="shared" si="59"/>
        <v>206.6666667</v>
      </c>
    </row>
    <row r="92" ht="7.5" customHeight="1">
      <c r="A92" s="257"/>
      <c r="B92" s="257"/>
      <c r="C92" s="258">
        <v>0.0</v>
      </c>
      <c r="D92" s="259">
        <v>0.0</v>
      </c>
      <c r="E92" s="260" t="str">
        <f t="shared" si="55"/>
        <v>#DIV/0!</v>
      </c>
      <c r="F92" s="261">
        <v>0.09</v>
      </c>
      <c r="G92" s="262" t="str">
        <f t="shared" si="56"/>
        <v>#DIV/0!</v>
      </c>
      <c r="H92" s="263">
        <v>0.0</v>
      </c>
      <c r="I92" s="264" t="str">
        <f t="shared" si="57"/>
        <v>#DIV/0!</v>
      </c>
      <c r="J92" s="261">
        <v>15.0</v>
      </c>
      <c r="K92" s="262">
        <v>0.0</v>
      </c>
      <c r="L92" s="266" t="s">
        <v>174</v>
      </c>
      <c r="M92" s="264" t="str">
        <f t="shared" si="58"/>
        <v>#DIV/0!</v>
      </c>
      <c r="N92" s="265">
        <v>3.0</v>
      </c>
      <c r="O92" s="267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</row>
    <row r="93" ht="30.0" customHeight="1">
      <c r="A93" s="250" t="s">
        <v>175</v>
      </c>
      <c r="B93" s="250" t="s">
        <v>160</v>
      </c>
      <c r="C93" s="251">
        <v>250.0</v>
      </c>
      <c r="D93" s="165">
        <v>2.0</v>
      </c>
      <c r="E93" s="167">
        <f t="shared" si="55"/>
        <v>125</v>
      </c>
      <c r="F93" s="252">
        <v>0.16</v>
      </c>
      <c r="G93" s="253">
        <f t="shared" si="56"/>
        <v>20</v>
      </c>
      <c r="H93" s="254">
        <v>0.06</v>
      </c>
      <c r="I93" s="169">
        <f t="shared" si="57"/>
        <v>7.5</v>
      </c>
      <c r="J93" s="166">
        <v>15.0</v>
      </c>
      <c r="K93" s="168">
        <v>0.0</v>
      </c>
      <c r="L93" s="166">
        <v>20.0</v>
      </c>
      <c r="M93" s="169">
        <f t="shared" si="58"/>
        <v>62.5</v>
      </c>
      <c r="N93" s="256">
        <v>2.0</v>
      </c>
      <c r="O93" s="213">
        <f t="shared" ref="O93:O94" si="60">SUM((M93*N93)+M93)</f>
        <v>187.5</v>
      </c>
      <c r="P93" s="27">
        <f t="shared" ref="P93:P94" si="61">O93/C93</f>
        <v>0.75</v>
      </c>
    </row>
    <row r="94" ht="30.0" customHeight="1">
      <c r="A94" s="250" t="s">
        <v>176</v>
      </c>
      <c r="B94" s="250" t="s">
        <v>177</v>
      </c>
      <c r="C94" s="251">
        <v>60.0</v>
      </c>
      <c r="D94" s="165">
        <v>1.0</v>
      </c>
      <c r="E94" s="167">
        <f t="shared" si="55"/>
        <v>60</v>
      </c>
      <c r="F94" s="252">
        <v>0.09</v>
      </c>
      <c r="G94" s="253">
        <f t="shared" si="56"/>
        <v>5.4</v>
      </c>
      <c r="H94" s="254">
        <v>0.15</v>
      </c>
      <c r="I94" s="169">
        <f t="shared" si="57"/>
        <v>9</v>
      </c>
      <c r="J94" s="166">
        <v>15.0</v>
      </c>
      <c r="K94" s="166">
        <v>19.2</v>
      </c>
      <c r="L94" s="166">
        <v>20.0</v>
      </c>
      <c r="M94" s="169">
        <f t="shared" si="58"/>
        <v>68.6</v>
      </c>
      <c r="N94" s="256">
        <v>2.0</v>
      </c>
      <c r="O94" s="213">
        <f t="shared" si="60"/>
        <v>205.8</v>
      </c>
      <c r="P94" s="27">
        <f t="shared" si="61"/>
        <v>3.43</v>
      </c>
    </row>
    <row r="95" ht="12.0" customHeight="1">
      <c r="A95" s="257"/>
      <c r="B95" s="257"/>
      <c r="C95" s="258">
        <v>0.0</v>
      </c>
      <c r="D95" s="259">
        <v>0.0</v>
      </c>
      <c r="E95" s="260" t="str">
        <f t="shared" si="55"/>
        <v>#DIV/0!</v>
      </c>
      <c r="F95" s="261">
        <v>0.09</v>
      </c>
      <c r="G95" s="262" t="str">
        <f t="shared" si="56"/>
        <v>#DIV/0!</v>
      </c>
      <c r="H95" s="263">
        <v>0.0</v>
      </c>
      <c r="I95" s="264" t="str">
        <f t="shared" si="57"/>
        <v>#DIV/0!</v>
      </c>
      <c r="J95" s="261">
        <v>15.0</v>
      </c>
      <c r="K95" s="262">
        <v>0.0</v>
      </c>
      <c r="L95" s="262">
        <v>0.0</v>
      </c>
      <c r="M95" s="264" t="str">
        <f t="shared" si="58"/>
        <v>#DIV/0!</v>
      </c>
      <c r="N95" s="265">
        <v>3.0</v>
      </c>
      <c r="O95" s="267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</row>
    <row r="96" ht="30.0" customHeight="1">
      <c r="A96" s="250" t="s">
        <v>168</v>
      </c>
      <c r="B96" s="250" t="s">
        <v>178</v>
      </c>
      <c r="C96" s="251">
        <v>400.0</v>
      </c>
      <c r="D96" s="165">
        <v>8.0</v>
      </c>
      <c r="E96" s="167">
        <f t="shared" si="55"/>
        <v>50</v>
      </c>
      <c r="F96" s="252">
        <v>0.09</v>
      </c>
      <c r="G96" s="253">
        <f t="shared" si="56"/>
        <v>4.5</v>
      </c>
      <c r="H96" s="254">
        <v>0.38</v>
      </c>
      <c r="I96" s="169">
        <f t="shared" si="57"/>
        <v>19</v>
      </c>
      <c r="J96" s="166">
        <v>5.0</v>
      </c>
      <c r="K96" s="168">
        <v>0.0</v>
      </c>
      <c r="L96" s="168">
        <v>0.0</v>
      </c>
      <c r="M96" s="169">
        <f t="shared" si="58"/>
        <v>28.5</v>
      </c>
      <c r="N96" s="256">
        <v>3.0</v>
      </c>
      <c r="O96" s="213">
        <f>SUM((M96*N96)+M96)</f>
        <v>114</v>
      </c>
    </row>
    <row r="97" ht="12.0" customHeight="1">
      <c r="A97" s="257"/>
      <c r="B97" s="257"/>
      <c r="C97" s="258">
        <v>0.0</v>
      </c>
      <c r="D97" s="259">
        <v>0.0</v>
      </c>
      <c r="E97" s="260" t="str">
        <f t="shared" si="55"/>
        <v>#DIV/0!</v>
      </c>
      <c r="F97" s="261">
        <v>0.09</v>
      </c>
      <c r="G97" s="262" t="str">
        <f t="shared" si="56"/>
        <v>#DIV/0!</v>
      </c>
      <c r="H97" s="263">
        <v>0.0</v>
      </c>
      <c r="I97" s="264" t="str">
        <f t="shared" si="57"/>
        <v>#DIV/0!</v>
      </c>
      <c r="J97" s="261">
        <v>15.0</v>
      </c>
      <c r="K97" s="262">
        <v>0.0</v>
      </c>
      <c r="L97" s="262">
        <v>0.0</v>
      </c>
      <c r="M97" s="264" t="str">
        <f t="shared" si="58"/>
        <v>#DIV/0!</v>
      </c>
      <c r="N97" s="265">
        <v>3.0</v>
      </c>
      <c r="O97" s="267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</row>
    <row r="98" ht="30.0" customHeight="1">
      <c r="A98" s="250" t="s">
        <v>179</v>
      </c>
      <c r="B98" s="250" t="s">
        <v>180</v>
      </c>
      <c r="C98" s="251">
        <v>1000.0</v>
      </c>
      <c r="D98" s="165">
        <v>6.0</v>
      </c>
      <c r="E98" s="167">
        <f t="shared" si="55"/>
        <v>166.6666667</v>
      </c>
      <c r="F98" s="252">
        <v>0.09</v>
      </c>
      <c r="G98" s="253">
        <f t="shared" si="56"/>
        <v>15</v>
      </c>
      <c r="H98" s="254">
        <v>0.78</v>
      </c>
      <c r="I98" s="169">
        <f t="shared" si="57"/>
        <v>130</v>
      </c>
      <c r="J98" s="166">
        <v>5.0</v>
      </c>
      <c r="K98" s="168">
        <v>0.0</v>
      </c>
      <c r="L98" s="168">
        <v>0.0</v>
      </c>
      <c r="M98" s="169">
        <f t="shared" si="58"/>
        <v>150</v>
      </c>
      <c r="N98" s="256">
        <v>0.6</v>
      </c>
      <c r="O98" s="213">
        <f>SUM((M98*N98)+M98)</f>
        <v>240</v>
      </c>
      <c r="P98" s="27">
        <f>O98/C98</f>
        <v>0.24</v>
      </c>
    </row>
    <row r="99" ht="12.0" customHeight="1">
      <c r="A99" s="257"/>
      <c r="B99" s="257"/>
      <c r="C99" s="258">
        <v>0.0</v>
      </c>
      <c r="D99" s="259">
        <v>0.0</v>
      </c>
      <c r="E99" s="260" t="str">
        <f t="shared" si="55"/>
        <v>#DIV/0!</v>
      </c>
      <c r="F99" s="261">
        <v>0.09</v>
      </c>
      <c r="G99" s="262" t="str">
        <f t="shared" si="56"/>
        <v>#DIV/0!</v>
      </c>
      <c r="H99" s="263">
        <v>0.0</v>
      </c>
      <c r="I99" s="264" t="str">
        <f t="shared" si="57"/>
        <v>#DIV/0!</v>
      </c>
      <c r="J99" s="261">
        <v>15.0</v>
      </c>
      <c r="K99" s="262">
        <v>0.0</v>
      </c>
      <c r="L99" s="262">
        <v>0.0</v>
      </c>
      <c r="M99" s="264" t="str">
        <f t="shared" si="58"/>
        <v>#DIV/0!</v>
      </c>
      <c r="N99" s="265">
        <v>3.0</v>
      </c>
      <c r="O99" s="267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</row>
    <row r="100" ht="30.0" customHeight="1">
      <c r="A100" s="250" t="s">
        <v>181</v>
      </c>
      <c r="B100" s="250" t="s">
        <v>182</v>
      </c>
      <c r="C100" s="251">
        <v>500.0</v>
      </c>
      <c r="D100" s="165">
        <v>4.0</v>
      </c>
      <c r="E100" s="167">
        <f t="shared" si="55"/>
        <v>125</v>
      </c>
      <c r="F100" s="252">
        <v>0.09</v>
      </c>
      <c r="G100" s="253">
        <f t="shared" si="56"/>
        <v>11.25</v>
      </c>
      <c r="H100" s="254">
        <v>0.06</v>
      </c>
      <c r="I100" s="169">
        <f t="shared" si="57"/>
        <v>7.5</v>
      </c>
      <c r="J100" s="166">
        <v>10.0</v>
      </c>
      <c r="K100" s="168">
        <v>0.0</v>
      </c>
      <c r="L100" s="168">
        <v>0.0</v>
      </c>
      <c r="M100" s="169">
        <f t="shared" si="58"/>
        <v>28.75</v>
      </c>
      <c r="N100" s="256">
        <v>0.2</v>
      </c>
      <c r="O100" s="213">
        <f t="shared" ref="O100:O105" si="62">SUM((M100*N100)+M100)</f>
        <v>34.5</v>
      </c>
      <c r="P100" s="27">
        <f t="shared" ref="P100:P105" si="63">O100/C100</f>
        <v>0.069</v>
      </c>
    </row>
    <row r="101" ht="30.0" customHeight="1">
      <c r="A101" s="250" t="s">
        <v>181</v>
      </c>
      <c r="B101" s="250" t="s">
        <v>183</v>
      </c>
      <c r="C101" s="251">
        <v>3.0</v>
      </c>
      <c r="D101" s="165">
        <v>1.0</v>
      </c>
      <c r="E101" s="167">
        <f t="shared" si="55"/>
        <v>3</v>
      </c>
      <c r="F101" s="252">
        <v>0.09</v>
      </c>
      <c r="G101" s="253">
        <f t="shared" si="56"/>
        <v>0.27</v>
      </c>
      <c r="H101" s="254">
        <v>0.06</v>
      </c>
      <c r="I101" s="169">
        <f t="shared" si="57"/>
        <v>0.18</v>
      </c>
      <c r="J101" s="166">
        <v>15.0</v>
      </c>
      <c r="K101" s="168">
        <v>0.0</v>
      </c>
      <c r="L101" s="168">
        <v>0.0</v>
      </c>
      <c r="M101" s="169">
        <f t="shared" si="58"/>
        <v>15.45</v>
      </c>
      <c r="N101" s="256">
        <v>0.2</v>
      </c>
      <c r="O101" s="213">
        <f t="shared" si="62"/>
        <v>18.54</v>
      </c>
      <c r="P101" s="27">
        <f t="shared" si="63"/>
        <v>6.18</v>
      </c>
      <c r="Q101" s="88" t="s">
        <v>184</v>
      </c>
    </row>
    <row r="102" ht="30.0" customHeight="1">
      <c r="A102" s="250" t="s">
        <v>181</v>
      </c>
      <c r="B102" s="250" t="s">
        <v>185</v>
      </c>
      <c r="C102" s="251">
        <v>40.0</v>
      </c>
      <c r="D102" s="165">
        <v>2.0</v>
      </c>
      <c r="E102" s="167">
        <f t="shared" si="55"/>
        <v>20</v>
      </c>
      <c r="F102" s="252">
        <v>0.16</v>
      </c>
      <c r="G102" s="253">
        <f t="shared" si="56"/>
        <v>3.2</v>
      </c>
      <c r="H102" s="254">
        <v>0.06</v>
      </c>
      <c r="I102" s="169">
        <f t="shared" si="57"/>
        <v>1.2</v>
      </c>
      <c r="J102" s="166">
        <v>15.0</v>
      </c>
      <c r="K102" s="168">
        <v>0.0</v>
      </c>
      <c r="L102" s="168">
        <v>0.0</v>
      </c>
      <c r="M102" s="169">
        <f t="shared" si="58"/>
        <v>19.4</v>
      </c>
      <c r="N102" s="256">
        <v>0.2</v>
      </c>
      <c r="O102" s="213">
        <f t="shared" si="62"/>
        <v>23.28</v>
      </c>
      <c r="P102" s="27">
        <f t="shared" si="63"/>
        <v>0.582</v>
      </c>
      <c r="Q102" s="269">
        <f>SUM(O100:O105)</f>
        <v>174.27</v>
      </c>
    </row>
    <row r="103" ht="30.0" customHeight="1">
      <c r="A103" s="250" t="s">
        <v>181</v>
      </c>
      <c r="B103" s="250" t="s">
        <v>186</v>
      </c>
      <c r="C103" s="251">
        <v>500.0</v>
      </c>
      <c r="D103" s="165">
        <v>4.0</v>
      </c>
      <c r="E103" s="167">
        <f t="shared" si="55"/>
        <v>125</v>
      </c>
      <c r="F103" s="252">
        <v>0.09</v>
      </c>
      <c r="G103" s="253">
        <f t="shared" si="56"/>
        <v>11.25</v>
      </c>
      <c r="H103" s="254">
        <v>0.06</v>
      </c>
      <c r="I103" s="169">
        <f t="shared" si="57"/>
        <v>7.5</v>
      </c>
      <c r="J103" s="166">
        <v>10.0</v>
      </c>
      <c r="K103" s="168">
        <v>0.0</v>
      </c>
      <c r="L103" s="168">
        <v>0.0</v>
      </c>
      <c r="M103" s="169">
        <f t="shared" si="58"/>
        <v>28.75</v>
      </c>
      <c r="N103" s="256">
        <v>0.2</v>
      </c>
      <c r="O103" s="213">
        <f t="shared" si="62"/>
        <v>34.5</v>
      </c>
      <c r="P103" s="27">
        <f t="shared" si="63"/>
        <v>0.069</v>
      </c>
      <c r="Q103" s="88"/>
    </row>
    <row r="104" ht="30.0" customHeight="1">
      <c r="A104" s="250" t="s">
        <v>181</v>
      </c>
      <c r="B104" s="250" t="s">
        <v>187</v>
      </c>
      <c r="C104" s="251">
        <v>15.0</v>
      </c>
      <c r="D104" s="165">
        <v>1.0</v>
      </c>
      <c r="E104" s="167">
        <f t="shared" si="55"/>
        <v>15</v>
      </c>
      <c r="F104" s="252">
        <v>0.09</v>
      </c>
      <c r="G104" s="253">
        <f t="shared" si="56"/>
        <v>1.35</v>
      </c>
      <c r="H104" s="254">
        <v>0.06</v>
      </c>
      <c r="I104" s="169">
        <f t="shared" si="57"/>
        <v>0.9</v>
      </c>
      <c r="J104" s="166">
        <v>15.0</v>
      </c>
      <c r="K104" s="168">
        <v>0.0</v>
      </c>
      <c r="L104" s="168">
        <v>0.0</v>
      </c>
      <c r="M104" s="169">
        <f t="shared" si="58"/>
        <v>17.25</v>
      </c>
      <c r="N104" s="256">
        <v>0.2</v>
      </c>
      <c r="O104" s="213">
        <f t="shared" si="62"/>
        <v>20.7</v>
      </c>
      <c r="P104" s="27">
        <f t="shared" si="63"/>
        <v>1.38</v>
      </c>
      <c r="Q104" s="88"/>
    </row>
    <row r="105" ht="30.0" customHeight="1">
      <c r="A105" s="250" t="s">
        <v>181</v>
      </c>
      <c r="B105" s="250" t="s">
        <v>188</v>
      </c>
      <c r="C105" s="251">
        <v>1100.0</v>
      </c>
      <c r="D105" s="165">
        <v>8.0</v>
      </c>
      <c r="E105" s="167">
        <f t="shared" si="55"/>
        <v>137.5</v>
      </c>
      <c r="F105" s="252">
        <v>0.09</v>
      </c>
      <c r="G105" s="253">
        <f t="shared" si="56"/>
        <v>12.375</v>
      </c>
      <c r="H105" s="254">
        <v>0.06</v>
      </c>
      <c r="I105" s="169">
        <f t="shared" si="57"/>
        <v>8.25</v>
      </c>
      <c r="J105" s="166">
        <v>15.0</v>
      </c>
      <c r="K105" s="168">
        <v>0.0</v>
      </c>
      <c r="L105" s="168">
        <v>0.0</v>
      </c>
      <c r="M105" s="169">
        <f t="shared" si="58"/>
        <v>35.625</v>
      </c>
      <c r="N105" s="256">
        <v>0.2</v>
      </c>
      <c r="O105" s="213">
        <f t="shared" si="62"/>
        <v>42.75</v>
      </c>
      <c r="P105" s="27">
        <f t="shared" si="63"/>
        <v>0.03886363636</v>
      </c>
      <c r="Q105" s="88"/>
    </row>
    <row r="106" ht="10.5" customHeight="1">
      <c r="A106" s="270"/>
      <c r="B106" s="270"/>
      <c r="C106" s="271">
        <v>0.0</v>
      </c>
      <c r="D106" s="272">
        <v>0.0</v>
      </c>
      <c r="E106" s="272" t="str">
        <f t="shared" si="55"/>
        <v>#DIV/0!</v>
      </c>
      <c r="F106" s="273">
        <v>0.09</v>
      </c>
      <c r="G106" s="273" t="str">
        <f t="shared" si="56"/>
        <v>#DIV/0!</v>
      </c>
      <c r="H106" s="274">
        <v>0.0</v>
      </c>
      <c r="I106" s="274" t="str">
        <f t="shared" si="57"/>
        <v>#DIV/0!</v>
      </c>
      <c r="J106" s="273">
        <v>15.0</v>
      </c>
      <c r="K106" s="273">
        <v>0.0</v>
      </c>
      <c r="L106" s="273">
        <v>0.0</v>
      </c>
      <c r="M106" s="274" t="str">
        <f t="shared" si="58"/>
        <v>#DIV/0!</v>
      </c>
      <c r="N106" s="275">
        <v>3.0</v>
      </c>
      <c r="O106" s="267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</row>
    <row r="107" ht="30.0" customHeight="1">
      <c r="A107" s="172" t="s">
        <v>189</v>
      </c>
      <c r="B107" s="154" t="s">
        <v>180</v>
      </c>
      <c r="C107" s="277">
        <v>1.0</v>
      </c>
      <c r="D107" s="174">
        <v>1.0</v>
      </c>
      <c r="E107" s="176">
        <f t="shared" si="55"/>
        <v>1</v>
      </c>
      <c r="F107" s="209">
        <v>0.09</v>
      </c>
      <c r="G107" s="210">
        <f t="shared" si="56"/>
        <v>0.09</v>
      </c>
      <c r="H107" s="211">
        <v>0.78</v>
      </c>
      <c r="I107" s="178">
        <f t="shared" si="57"/>
        <v>0.78</v>
      </c>
      <c r="J107" s="175">
        <v>0.0</v>
      </c>
      <c r="K107" s="177">
        <v>0.0</v>
      </c>
      <c r="L107" s="177">
        <v>0.0</v>
      </c>
      <c r="M107" s="178">
        <f t="shared" si="58"/>
        <v>0.87</v>
      </c>
      <c r="N107" s="278">
        <v>3.0</v>
      </c>
      <c r="O107" s="213">
        <f>SUM((M107*N107)+M107)</f>
        <v>3.48</v>
      </c>
      <c r="P107" s="268">
        <f>O107/C107</f>
        <v>3.48</v>
      </c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</row>
    <row r="108" ht="10.5" customHeight="1">
      <c r="A108" s="270"/>
      <c r="B108" s="270"/>
      <c r="C108" s="271">
        <v>0.0</v>
      </c>
      <c r="D108" s="272">
        <v>0.0</v>
      </c>
      <c r="E108" s="272" t="str">
        <f t="shared" si="55"/>
        <v>#DIV/0!</v>
      </c>
      <c r="F108" s="273">
        <v>0.09</v>
      </c>
      <c r="G108" s="273" t="str">
        <f t="shared" si="56"/>
        <v>#DIV/0!</v>
      </c>
      <c r="H108" s="274">
        <v>0.0</v>
      </c>
      <c r="I108" s="274" t="str">
        <f t="shared" si="57"/>
        <v>#DIV/0!</v>
      </c>
      <c r="J108" s="273">
        <v>15.0</v>
      </c>
      <c r="K108" s="273">
        <v>0.0</v>
      </c>
      <c r="L108" s="273">
        <v>0.0</v>
      </c>
      <c r="M108" s="274" t="str">
        <f t="shared" si="58"/>
        <v>#DIV/0!</v>
      </c>
      <c r="N108" s="275">
        <v>3.0</v>
      </c>
      <c r="O108" s="267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76"/>
      <c r="AB108" s="276"/>
      <c r="AC108" s="276"/>
      <c r="AD108" s="276"/>
      <c r="AE108" s="276"/>
    </row>
    <row r="109" ht="30.0" customHeight="1">
      <c r="A109" s="172" t="s">
        <v>190</v>
      </c>
      <c r="B109" s="172" t="s">
        <v>191</v>
      </c>
      <c r="C109" s="277">
        <v>500.0</v>
      </c>
      <c r="D109" s="174">
        <v>2.0</v>
      </c>
      <c r="E109" s="176">
        <f t="shared" si="55"/>
        <v>250</v>
      </c>
      <c r="F109" s="209">
        <v>0.09</v>
      </c>
      <c r="G109" s="210">
        <f t="shared" si="56"/>
        <v>22.5</v>
      </c>
      <c r="H109" s="211">
        <v>0.78</v>
      </c>
      <c r="I109" s="178">
        <f t="shared" si="57"/>
        <v>195</v>
      </c>
      <c r="J109" s="175">
        <v>0.0</v>
      </c>
      <c r="K109" s="177">
        <v>0.0</v>
      </c>
      <c r="L109" s="177">
        <v>0.0</v>
      </c>
      <c r="M109" s="178">
        <f t="shared" si="58"/>
        <v>217.5</v>
      </c>
      <c r="N109" s="278">
        <v>3.0</v>
      </c>
      <c r="O109" s="213">
        <f t="shared" ref="O109:O120" si="64">SUM((M109*N109)+M109)</f>
        <v>870</v>
      </c>
      <c r="P109" s="268">
        <f t="shared" ref="P109:P120" si="65">O109/C109</f>
        <v>1.74</v>
      </c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</row>
    <row r="110" ht="30.0" customHeight="1">
      <c r="A110" s="172" t="s">
        <v>192</v>
      </c>
      <c r="B110" s="172" t="s">
        <v>191</v>
      </c>
      <c r="C110" s="277">
        <v>500.0</v>
      </c>
      <c r="D110" s="174">
        <v>2.0</v>
      </c>
      <c r="E110" s="176">
        <f t="shared" si="55"/>
        <v>250</v>
      </c>
      <c r="F110" s="209">
        <v>0.09</v>
      </c>
      <c r="G110" s="210">
        <f t="shared" si="56"/>
        <v>22.5</v>
      </c>
      <c r="H110" s="279">
        <v>0.03</v>
      </c>
      <c r="I110" s="178">
        <f t="shared" si="57"/>
        <v>7.5</v>
      </c>
      <c r="J110" s="175">
        <v>10.0</v>
      </c>
      <c r="K110" s="177">
        <v>0.0</v>
      </c>
      <c r="L110" s="177">
        <v>0.0</v>
      </c>
      <c r="M110" s="178">
        <f t="shared" si="58"/>
        <v>40</v>
      </c>
      <c r="N110" s="278">
        <v>2.0</v>
      </c>
      <c r="O110" s="213">
        <f t="shared" si="64"/>
        <v>120</v>
      </c>
      <c r="P110" s="268">
        <f t="shared" si="65"/>
        <v>0.24</v>
      </c>
    </row>
    <row r="111" ht="30.0" customHeight="1">
      <c r="A111" s="172" t="s">
        <v>192</v>
      </c>
      <c r="B111" s="172" t="s">
        <v>193</v>
      </c>
      <c r="C111" s="277">
        <v>250.0</v>
      </c>
      <c r="D111" s="174">
        <v>12.0</v>
      </c>
      <c r="E111" s="176">
        <f t="shared" si="55"/>
        <v>20.83333333</v>
      </c>
      <c r="F111" s="280">
        <v>0.16</v>
      </c>
      <c r="G111" s="210">
        <f t="shared" si="56"/>
        <v>3.333333333</v>
      </c>
      <c r="H111" s="279">
        <v>0.15</v>
      </c>
      <c r="I111" s="178">
        <f t="shared" si="57"/>
        <v>3.125</v>
      </c>
      <c r="J111" s="175">
        <v>5.0</v>
      </c>
      <c r="K111" s="175">
        <v>4.0</v>
      </c>
      <c r="L111" s="177">
        <v>0.0</v>
      </c>
      <c r="M111" s="178">
        <f t="shared" si="58"/>
        <v>15.45833333</v>
      </c>
      <c r="N111" s="278">
        <v>3.0</v>
      </c>
      <c r="O111" s="213">
        <f t="shared" si="64"/>
        <v>61.83333333</v>
      </c>
      <c r="P111" s="268">
        <f t="shared" si="65"/>
        <v>0.2473333333</v>
      </c>
      <c r="Q111" s="27">
        <f>M111/C111</f>
        <v>0.06183333333</v>
      </c>
    </row>
    <row r="112" ht="30.0" customHeight="1">
      <c r="A112" s="250" t="s">
        <v>194</v>
      </c>
      <c r="B112" s="250" t="s">
        <v>195</v>
      </c>
      <c r="C112" s="251">
        <v>100.0</v>
      </c>
      <c r="D112" s="165">
        <v>2.0</v>
      </c>
      <c r="E112" s="167">
        <f t="shared" si="55"/>
        <v>50</v>
      </c>
      <c r="F112" s="252">
        <v>0.09</v>
      </c>
      <c r="G112" s="253">
        <f t="shared" si="56"/>
        <v>4.5</v>
      </c>
      <c r="H112" s="254">
        <v>0.14</v>
      </c>
      <c r="I112" s="169">
        <f t="shared" si="57"/>
        <v>7</v>
      </c>
      <c r="J112" s="166">
        <v>22.0</v>
      </c>
      <c r="K112" s="168">
        <v>0.0</v>
      </c>
      <c r="L112" s="168">
        <v>0.0</v>
      </c>
      <c r="M112" s="169">
        <f t="shared" si="58"/>
        <v>33.5</v>
      </c>
      <c r="N112" s="256">
        <v>3.0</v>
      </c>
      <c r="O112" s="213">
        <f t="shared" si="64"/>
        <v>134</v>
      </c>
      <c r="P112" s="27">
        <f t="shared" si="65"/>
        <v>1.34</v>
      </c>
    </row>
    <row r="113" ht="30.0" customHeight="1">
      <c r="A113" s="250" t="s">
        <v>196</v>
      </c>
      <c r="B113" s="250" t="s">
        <v>197</v>
      </c>
      <c r="C113" s="251">
        <v>20.0</v>
      </c>
      <c r="D113" s="165">
        <v>12.0</v>
      </c>
      <c r="E113" s="167">
        <f t="shared" si="55"/>
        <v>1.666666667</v>
      </c>
      <c r="F113" s="252">
        <v>0.16</v>
      </c>
      <c r="G113" s="253">
        <f t="shared" si="56"/>
        <v>0.2666666667</v>
      </c>
      <c r="H113" s="254">
        <v>0.14</v>
      </c>
      <c r="I113" s="169">
        <f t="shared" si="57"/>
        <v>0.2333333333</v>
      </c>
      <c r="J113" s="166">
        <v>5.0</v>
      </c>
      <c r="K113" s="168">
        <v>0.0</v>
      </c>
      <c r="L113" s="168">
        <v>0.0</v>
      </c>
      <c r="M113" s="169">
        <f t="shared" si="58"/>
        <v>5.5</v>
      </c>
      <c r="N113" s="256">
        <v>3.0</v>
      </c>
      <c r="O113" s="213">
        <f t="shared" si="64"/>
        <v>22</v>
      </c>
      <c r="P113" s="27">
        <f t="shared" si="65"/>
        <v>1.1</v>
      </c>
    </row>
    <row r="114" ht="30.0" customHeight="1">
      <c r="A114" s="250" t="s">
        <v>198</v>
      </c>
      <c r="B114" s="250" t="s">
        <v>199</v>
      </c>
      <c r="C114" s="251">
        <v>72.0</v>
      </c>
      <c r="D114" s="165">
        <v>21.0</v>
      </c>
      <c r="E114" s="167">
        <f t="shared" si="55"/>
        <v>3.428571429</v>
      </c>
      <c r="F114" s="252">
        <v>0.09</v>
      </c>
      <c r="G114" s="253">
        <f t="shared" si="56"/>
        <v>0.3085714286</v>
      </c>
      <c r="H114" s="254">
        <v>0.14</v>
      </c>
      <c r="I114" s="169">
        <f t="shared" si="57"/>
        <v>0.48</v>
      </c>
      <c r="J114" s="166">
        <v>15.0</v>
      </c>
      <c r="K114" s="168">
        <v>0.0</v>
      </c>
      <c r="L114" s="168">
        <v>0.0</v>
      </c>
      <c r="M114" s="169">
        <f t="shared" si="58"/>
        <v>15.78857143</v>
      </c>
      <c r="N114" s="256">
        <v>0.2</v>
      </c>
      <c r="O114" s="213">
        <f t="shared" si="64"/>
        <v>18.94628571</v>
      </c>
      <c r="P114" s="27">
        <f t="shared" si="65"/>
        <v>0.2631428571</v>
      </c>
    </row>
    <row r="115" ht="30.0" customHeight="1">
      <c r="A115" s="250" t="s">
        <v>200</v>
      </c>
      <c r="B115" s="250" t="s">
        <v>201</v>
      </c>
      <c r="C115" s="251">
        <v>100.0</v>
      </c>
      <c r="D115" s="165">
        <v>6.0</v>
      </c>
      <c r="E115" s="167">
        <f t="shared" si="55"/>
        <v>16.66666667</v>
      </c>
      <c r="F115" s="252">
        <v>0.16</v>
      </c>
      <c r="G115" s="253">
        <f t="shared" si="56"/>
        <v>2.666666667</v>
      </c>
      <c r="H115" s="254">
        <v>0.14</v>
      </c>
      <c r="I115" s="169">
        <f t="shared" si="57"/>
        <v>2.333333333</v>
      </c>
      <c r="J115" s="166">
        <v>5.0</v>
      </c>
      <c r="K115" s="168">
        <v>0.0</v>
      </c>
      <c r="L115" s="166">
        <v>56.1</v>
      </c>
      <c r="M115" s="169">
        <f t="shared" si="58"/>
        <v>66.1</v>
      </c>
      <c r="N115" s="256">
        <v>3.0</v>
      </c>
      <c r="O115" s="213">
        <f t="shared" si="64"/>
        <v>264.4</v>
      </c>
      <c r="P115" s="27">
        <f t="shared" si="65"/>
        <v>2.644</v>
      </c>
      <c r="Q115" s="27">
        <f t="shared" ref="Q115:Q116" si="66">M115+O115</f>
        <v>330.5</v>
      </c>
    </row>
    <row r="116" ht="30.0" customHeight="1">
      <c r="A116" s="114" t="s">
        <v>202</v>
      </c>
      <c r="B116" s="250"/>
      <c r="C116" s="251">
        <v>32.0</v>
      </c>
      <c r="D116" s="165">
        <v>8.0</v>
      </c>
      <c r="E116" s="167">
        <f t="shared" si="55"/>
        <v>4</v>
      </c>
      <c r="F116" s="252">
        <v>0.16</v>
      </c>
      <c r="G116" s="253">
        <f t="shared" si="56"/>
        <v>0.64</v>
      </c>
      <c r="H116" s="254">
        <v>0.14</v>
      </c>
      <c r="I116" s="169">
        <f t="shared" si="57"/>
        <v>0.56</v>
      </c>
      <c r="J116" s="166">
        <v>5.0</v>
      </c>
      <c r="K116" s="168">
        <v>0.0</v>
      </c>
      <c r="L116" s="168">
        <v>0.0</v>
      </c>
      <c r="M116" s="169">
        <f t="shared" si="58"/>
        <v>6.2</v>
      </c>
      <c r="N116" s="256">
        <v>0.2</v>
      </c>
      <c r="O116" s="213">
        <f t="shared" si="64"/>
        <v>7.44</v>
      </c>
      <c r="P116" s="27">
        <f t="shared" si="65"/>
        <v>0.2325</v>
      </c>
      <c r="Q116" s="27">
        <f t="shared" si="66"/>
        <v>13.64</v>
      </c>
    </row>
    <row r="117" ht="30.0" customHeight="1">
      <c r="A117" s="250" t="s">
        <v>203</v>
      </c>
      <c r="B117" s="250" t="s">
        <v>204</v>
      </c>
      <c r="C117" s="251">
        <v>1.0</v>
      </c>
      <c r="D117" s="165">
        <v>1.0</v>
      </c>
      <c r="E117" s="167">
        <f t="shared" si="55"/>
        <v>1</v>
      </c>
      <c r="F117" s="252">
        <v>0.09</v>
      </c>
      <c r="G117" s="253">
        <f t="shared" si="56"/>
        <v>0.09</v>
      </c>
      <c r="H117" s="254">
        <v>0.76</v>
      </c>
      <c r="I117" s="169">
        <f t="shared" si="57"/>
        <v>0.76</v>
      </c>
      <c r="J117" s="166">
        <v>0.0</v>
      </c>
      <c r="K117" s="168">
        <v>0.0</v>
      </c>
      <c r="L117" s="168">
        <v>0.0</v>
      </c>
      <c r="M117" s="169">
        <f t="shared" si="58"/>
        <v>0.85</v>
      </c>
      <c r="N117" s="256">
        <v>3.0</v>
      </c>
      <c r="O117" s="213">
        <f t="shared" si="64"/>
        <v>3.4</v>
      </c>
      <c r="P117" s="27">
        <f t="shared" si="65"/>
        <v>3.4</v>
      </c>
    </row>
    <row r="118" ht="30.0" customHeight="1">
      <c r="A118" s="250" t="s">
        <v>205</v>
      </c>
      <c r="B118" s="250" t="s">
        <v>206</v>
      </c>
      <c r="C118" s="251">
        <v>22.0</v>
      </c>
      <c r="D118" s="165">
        <v>1.0</v>
      </c>
      <c r="E118" s="167">
        <f t="shared" si="55"/>
        <v>22</v>
      </c>
      <c r="F118" s="252">
        <v>0.16</v>
      </c>
      <c r="G118" s="253">
        <f t="shared" si="56"/>
        <v>3.52</v>
      </c>
      <c r="H118" s="254">
        <v>0.0</v>
      </c>
      <c r="I118" s="169">
        <f t="shared" si="57"/>
        <v>0</v>
      </c>
      <c r="J118" s="166">
        <v>0.0</v>
      </c>
      <c r="K118" s="168">
        <v>0.0</v>
      </c>
      <c r="L118" s="168">
        <v>0.0</v>
      </c>
      <c r="M118" s="169">
        <f t="shared" si="58"/>
        <v>3.52</v>
      </c>
      <c r="N118" s="256">
        <v>0.2</v>
      </c>
      <c r="O118" s="213">
        <f t="shared" si="64"/>
        <v>4.224</v>
      </c>
      <c r="P118" s="27">
        <f t="shared" si="65"/>
        <v>0.192</v>
      </c>
    </row>
    <row r="119" ht="30.0" customHeight="1">
      <c r="A119" s="250" t="s">
        <v>207</v>
      </c>
      <c r="B119" s="250" t="s">
        <v>208</v>
      </c>
      <c r="C119" s="251">
        <v>22.0</v>
      </c>
      <c r="D119" s="165">
        <v>6.0</v>
      </c>
      <c r="E119" s="167">
        <f t="shared" si="55"/>
        <v>3.666666667</v>
      </c>
      <c r="F119" s="252">
        <v>0.16</v>
      </c>
      <c r="G119" s="253">
        <f t="shared" si="56"/>
        <v>0.5866666667</v>
      </c>
      <c r="H119" s="254">
        <v>0.14</v>
      </c>
      <c r="I119" s="169">
        <f t="shared" si="57"/>
        <v>0.5133333333</v>
      </c>
      <c r="J119" s="166">
        <v>5.0</v>
      </c>
      <c r="K119" s="168">
        <v>0.0</v>
      </c>
      <c r="L119" s="168">
        <v>0.0</v>
      </c>
      <c r="M119" s="169">
        <f t="shared" si="58"/>
        <v>6.1</v>
      </c>
      <c r="N119" s="256">
        <v>0.2</v>
      </c>
      <c r="O119" s="213">
        <f t="shared" si="64"/>
        <v>7.32</v>
      </c>
      <c r="P119" s="27">
        <f t="shared" si="65"/>
        <v>0.3327272727</v>
      </c>
    </row>
    <row r="120" ht="30.0" customHeight="1">
      <c r="A120" s="250" t="s">
        <v>209</v>
      </c>
      <c r="B120" s="250" t="s">
        <v>209</v>
      </c>
      <c r="C120" s="251">
        <v>1000.0</v>
      </c>
      <c r="D120" s="165">
        <v>1.0</v>
      </c>
      <c r="E120" s="167">
        <f t="shared" si="55"/>
        <v>1000</v>
      </c>
      <c r="F120" s="252">
        <v>0.24</v>
      </c>
      <c r="G120" s="253">
        <f t="shared" si="56"/>
        <v>240</v>
      </c>
      <c r="H120" s="254">
        <v>0.09</v>
      </c>
      <c r="I120" s="169">
        <f t="shared" si="57"/>
        <v>90</v>
      </c>
      <c r="J120" s="166">
        <v>5.0</v>
      </c>
      <c r="K120" s="166">
        <v>19.2</v>
      </c>
      <c r="L120" s="168">
        <v>0.0</v>
      </c>
      <c r="M120" s="169">
        <f t="shared" si="58"/>
        <v>354.2</v>
      </c>
      <c r="N120" s="256">
        <v>3.0</v>
      </c>
      <c r="O120" s="213">
        <f t="shared" si="64"/>
        <v>1416.8</v>
      </c>
      <c r="P120" s="27">
        <f t="shared" si="65"/>
        <v>1.4168</v>
      </c>
    </row>
    <row r="121" ht="7.5" customHeight="1">
      <c r="A121" s="257"/>
      <c r="B121" s="257"/>
      <c r="C121" s="258"/>
      <c r="D121" s="259"/>
      <c r="E121" s="260"/>
      <c r="F121" s="261"/>
      <c r="G121" s="262"/>
      <c r="H121" s="263"/>
      <c r="I121" s="264"/>
      <c r="J121" s="261"/>
      <c r="K121" s="261"/>
      <c r="L121" s="262"/>
      <c r="M121" s="264"/>
      <c r="N121" s="265"/>
      <c r="O121" s="267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  <c r="AA121" s="235"/>
      <c r="AB121" s="235"/>
      <c r="AC121" s="235"/>
      <c r="AD121" s="235"/>
      <c r="AE121" s="235"/>
    </row>
    <row r="122" ht="30.0" customHeight="1">
      <c r="A122" s="250" t="s">
        <v>210</v>
      </c>
      <c r="B122" s="250" t="s">
        <v>211</v>
      </c>
      <c r="C122" s="251">
        <v>210.0</v>
      </c>
      <c r="D122" s="165">
        <v>10.0</v>
      </c>
      <c r="E122" s="167">
        <f t="shared" ref="E122:E123" si="67">SUM(C122/D122)</f>
        <v>21</v>
      </c>
      <c r="F122" s="252">
        <v>0.09</v>
      </c>
      <c r="G122" s="253">
        <f t="shared" ref="G122:G123" si="68">SUM(F122*E122)</f>
        <v>1.89</v>
      </c>
      <c r="H122" s="254">
        <v>0.78</v>
      </c>
      <c r="I122" s="169">
        <f t="shared" ref="I122:I123" si="69">SUM(E122*H122)</f>
        <v>16.38</v>
      </c>
      <c r="J122" s="166">
        <v>5.0</v>
      </c>
      <c r="K122" s="166">
        <v>0.0</v>
      </c>
      <c r="L122" s="168">
        <v>0.0</v>
      </c>
      <c r="M122" s="169">
        <f t="shared" ref="M122:M123" si="70">SUM(G122+I122+J122+K122+L122)</f>
        <v>23.27</v>
      </c>
      <c r="N122" s="256">
        <v>1.8</v>
      </c>
      <c r="O122" s="213">
        <f t="shared" ref="O122:O123" si="71">SUM((M122*N122)+M122)</f>
        <v>65.156</v>
      </c>
      <c r="P122" s="27">
        <f t="shared" ref="P122:P123" si="72">O122/C122</f>
        <v>0.3102666667</v>
      </c>
    </row>
    <row r="123" ht="30.0" customHeight="1">
      <c r="A123" s="250" t="s">
        <v>210</v>
      </c>
      <c r="B123" s="250" t="s">
        <v>212</v>
      </c>
      <c r="C123" s="251">
        <v>120.0</v>
      </c>
      <c r="D123" s="165">
        <v>6.0</v>
      </c>
      <c r="E123" s="167">
        <f t="shared" si="67"/>
        <v>20</v>
      </c>
      <c r="F123" s="252">
        <v>0.16</v>
      </c>
      <c r="G123" s="253">
        <f t="shared" si="68"/>
        <v>3.2</v>
      </c>
      <c r="H123" s="254">
        <v>0.15</v>
      </c>
      <c r="I123" s="169">
        <f t="shared" si="69"/>
        <v>3</v>
      </c>
      <c r="J123" s="166">
        <v>5.0</v>
      </c>
      <c r="K123" s="166">
        <v>6.4</v>
      </c>
      <c r="L123" s="166">
        <v>34.0</v>
      </c>
      <c r="M123" s="169">
        <f t="shared" si="70"/>
        <v>51.6</v>
      </c>
      <c r="N123" s="256">
        <v>1.5</v>
      </c>
      <c r="O123" s="213">
        <f t="shared" si="71"/>
        <v>129</v>
      </c>
      <c r="P123" s="27">
        <f t="shared" si="72"/>
        <v>1.075</v>
      </c>
      <c r="Q123" s="27">
        <f>M123/C123</f>
        <v>0.43</v>
      </c>
    </row>
    <row r="124" ht="6.75" customHeight="1">
      <c r="A124" s="257"/>
      <c r="B124" s="257"/>
      <c r="C124" s="258"/>
      <c r="D124" s="259"/>
      <c r="E124" s="260"/>
      <c r="F124" s="261"/>
      <c r="G124" s="262"/>
      <c r="H124" s="263"/>
      <c r="I124" s="264"/>
      <c r="J124" s="261"/>
      <c r="K124" s="262"/>
      <c r="L124" s="262"/>
      <c r="M124" s="264"/>
      <c r="N124" s="265"/>
      <c r="O124" s="267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  <c r="AA124" s="235"/>
      <c r="AB124" s="235"/>
      <c r="AC124" s="235"/>
      <c r="AD124" s="235"/>
      <c r="AE124" s="235"/>
    </row>
    <row r="125" ht="30.0" customHeight="1">
      <c r="A125" s="250" t="s">
        <v>213</v>
      </c>
      <c r="B125" s="250" t="s">
        <v>214</v>
      </c>
      <c r="C125" s="251">
        <v>1000.0</v>
      </c>
      <c r="D125" s="165">
        <v>2.0</v>
      </c>
      <c r="E125" s="167">
        <f t="shared" ref="E125:E159" si="73">SUM(C125/D125)</f>
        <v>500</v>
      </c>
      <c r="F125" s="252">
        <v>0.09</v>
      </c>
      <c r="G125" s="253">
        <f t="shared" ref="G125:G169" si="74">SUM(F125*E125)</f>
        <v>45</v>
      </c>
      <c r="H125" s="254">
        <v>0.03</v>
      </c>
      <c r="I125" s="169">
        <f t="shared" ref="I125:I169" si="75">SUM(E125*H125)</f>
        <v>15</v>
      </c>
      <c r="J125" s="166">
        <v>10.0</v>
      </c>
      <c r="K125" s="168">
        <v>0.0</v>
      </c>
      <c r="L125" s="168">
        <v>0.0</v>
      </c>
      <c r="M125" s="169">
        <f t="shared" ref="M125:M169" si="76">SUM(G125+I125+J125+K125+L125)</f>
        <v>70</v>
      </c>
      <c r="N125" s="256">
        <v>0.6</v>
      </c>
      <c r="O125" s="213">
        <f t="shared" ref="O125:O132" si="77">SUM((M125*N125)+M125)</f>
        <v>112</v>
      </c>
    </row>
    <row r="126" ht="30.0" customHeight="1">
      <c r="A126" s="250" t="s">
        <v>213</v>
      </c>
      <c r="B126" s="250" t="s">
        <v>215</v>
      </c>
      <c r="C126" s="251">
        <v>300.0</v>
      </c>
      <c r="D126" s="165">
        <v>21.0</v>
      </c>
      <c r="E126" s="167">
        <f t="shared" si="73"/>
        <v>14.28571429</v>
      </c>
      <c r="F126" s="252">
        <v>0.16</v>
      </c>
      <c r="G126" s="253">
        <f t="shared" si="74"/>
        <v>2.285714286</v>
      </c>
      <c r="H126" s="254">
        <v>0.15</v>
      </c>
      <c r="I126" s="169">
        <f t="shared" si="75"/>
        <v>2.142857143</v>
      </c>
      <c r="J126" s="166">
        <v>5.0</v>
      </c>
      <c r="K126" s="166">
        <v>4.8</v>
      </c>
      <c r="L126" s="168">
        <v>0.0</v>
      </c>
      <c r="M126" s="169">
        <f t="shared" si="76"/>
        <v>14.22857143</v>
      </c>
      <c r="N126" s="256">
        <v>2.2</v>
      </c>
      <c r="O126" s="213">
        <f t="shared" si="77"/>
        <v>45.53142857</v>
      </c>
    </row>
    <row r="127" ht="30.0" customHeight="1">
      <c r="A127" s="250" t="s">
        <v>213</v>
      </c>
      <c r="B127" s="250" t="s">
        <v>216</v>
      </c>
      <c r="C127" s="251">
        <v>1000.0</v>
      </c>
      <c r="D127" s="165">
        <v>2.0</v>
      </c>
      <c r="E127" s="167">
        <f t="shared" si="73"/>
        <v>500</v>
      </c>
      <c r="F127" s="252">
        <v>0.09</v>
      </c>
      <c r="G127" s="253">
        <f t="shared" si="74"/>
        <v>45</v>
      </c>
      <c r="H127" s="254">
        <v>0.03</v>
      </c>
      <c r="I127" s="169">
        <f t="shared" si="75"/>
        <v>15</v>
      </c>
      <c r="J127" s="166">
        <v>10.0</v>
      </c>
      <c r="K127" s="168">
        <v>0.0</v>
      </c>
      <c r="L127" s="168">
        <v>0.0</v>
      </c>
      <c r="M127" s="169">
        <f t="shared" si="76"/>
        <v>70</v>
      </c>
      <c r="N127" s="256">
        <v>0.6</v>
      </c>
      <c r="O127" s="213">
        <f t="shared" si="77"/>
        <v>112</v>
      </c>
    </row>
    <row r="128" ht="9.0" customHeight="1">
      <c r="A128" s="257"/>
      <c r="B128" s="257"/>
      <c r="C128" s="258">
        <v>0.0</v>
      </c>
      <c r="D128" s="259">
        <v>0.0</v>
      </c>
      <c r="E128" s="260" t="str">
        <f t="shared" si="73"/>
        <v>#DIV/0!</v>
      </c>
      <c r="F128" s="261">
        <v>0.09</v>
      </c>
      <c r="G128" s="262" t="str">
        <f t="shared" si="74"/>
        <v>#DIV/0!</v>
      </c>
      <c r="H128" s="263">
        <v>0.0</v>
      </c>
      <c r="I128" s="264" t="str">
        <f t="shared" si="75"/>
        <v>#DIV/0!</v>
      </c>
      <c r="J128" s="261">
        <v>15.0</v>
      </c>
      <c r="K128" s="262">
        <v>0.0</v>
      </c>
      <c r="L128" s="262">
        <v>0.0</v>
      </c>
      <c r="M128" s="264" t="str">
        <f t="shared" si="76"/>
        <v>#DIV/0!</v>
      </c>
      <c r="N128" s="265">
        <v>3.0</v>
      </c>
      <c r="O128" s="267" t="str">
        <f t="shared" si="77"/>
        <v>#DIV/0!</v>
      </c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  <c r="AD128" s="235"/>
      <c r="AE128" s="235"/>
    </row>
    <row r="129" ht="30.0" customHeight="1">
      <c r="A129" s="250" t="s">
        <v>217</v>
      </c>
      <c r="B129" s="250" t="s">
        <v>218</v>
      </c>
      <c r="C129" s="251">
        <v>250.0</v>
      </c>
      <c r="D129" s="165">
        <v>21.0</v>
      </c>
      <c r="E129" s="167">
        <f t="shared" si="73"/>
        <v>11.9047619</v>
      </c>
      <c r="F129" s="252">
        <v>0.16</v>
      </c>
      <c r="G129" s="253">
        <f t="shared" si="74"/>
        <v>1.904761905</v>
      </c>
      <c r="H129" s="254">
        <v>0.15</v>
      </c>
      <c r="I129" s="169">
        <f t="shared" si="75"/>
        <v>1.785714286</v>
      </c>
      <c r="J129" s="166">
        <v>5.0</v>
      </c>
      <c r="K129" s="168">
        <v>0.0</v>
      </c>
      <c r="L129" s="168">
        <v>0.0</v>
      </c>
      <c r="M129" s="169">
        <f t="shared" si="76"/>
        <v>8.69047619</v>
      </c>
      <c r="N129" s="256">
        <v>3.0</v>
      </c>
      <c r="O129" s="213">
        <f t="shared" si="77"/>
        <v>34.76190476</v>
      </c>
    </row>
    <row r="130" ht="30.0" customHeight="1">
      <c r="A130" s="250" t="s">
        <v>217</v>
      </c>
      <c r="B130" s="250" t="s">
        <v>219</v>
      </c>
      <c r="C130" s="251">
        <v>500.0</v>
      </c>
      <c r="D130" s="165">
        <v>21.0</v>
      </c>
      <c r="E130" s="167">
        <f t="shared" si="73"/>
        <v>23.80952381</v>
      </c>
      <c r="F130" s="252">
        <v>0.16</v>
      </c>
      <c r="G130" s="253">
        <f t="shared" si="74"/>
        <v>3.80952381</v>
      </c>
      <c r="H130" s="254">
        <v>0.15</v>
      </c>
      <c r="I130" s="169">
        <f t="shared" si="75"/>
        <v>3.571428571</v>
      </c>
      <c r="J130" s="166">
        <v>5.0</v>
      </c>
      <c r="K130" s="168">
        <v>0.0</v>
      </c>
      <c r="L130" s="168">
        <v>0.0</v>
      </c>
      <c r="M130" s="169">
        <f t="shared" si="76"/>
        <v>12.38095238</v>
      </c>
      <c r="N130" s="256">
        <v>3.0</v>
      </c>
      <c r="O130" s="213">
        <f t="shared" si="77"/>
        <v>49.52380952</v>
      </c>
    </row>
    <row r="131" ht="30.0" customHeight="1">
      <c r="A131" s="250" t="s">
        <v>220</v>
      </c>
      <c r="B131" s="250" t="s">
        <v>219</v>
      </c>
      <c r="C131" s="251">
        <v>500.0</v>
      </c>
      <c r="D131" s="165">
        <v>21.0</v>
      </c>
      <c r="E131" s="167">
        <f t="shared" si="73"/>
        <v>23.80952381</v>
      </c>
      <c r="F131" s="252">
        <v>0.16</v>
      </c>
      <c r="G131" s="253">
        <f t="shared" si="74"/>
        <v>3.80952381</v>
      </c>
      <c r="H131" s="254">
        <v>0.15</v>
      </c>
      <c r="I131" s="169">
        <f t="shared" si="75"/>
        <v>3.571428571</v>
      </c>
      <c r="J131" s="166">
        <v>15.0</v>
      </c>
      <c r="K131" s="166">
        <v>24.0</v>
      </c>
      <c r="L131" s="166">
        <v>20.4</v>
      </c>
      <c r="M131" s="169">
        <f t="shared" si="76"/>
        <v>66.78095238</v>
      </c>
      <c r="N131" s="256">
        <v>0.4</v>
      </c>
      <c r="O131" s="213">
        <f t="shared" si="77"/>
        <v>93.49333333</v>
      </c>
      <c r="P131" s="27">
        <f>O131/C131</f>
        <v>0.1869866667</v>
      </c>
      <c r="Q131" s="27">
        <f>M131/C131</f>
        <v>0.1335619048</v>
      </c>
    </row>
    <row r="132" ht="9.0" customHeight="1">
      <c r="A132" s="257"/>
      <c r="B132" s="257"/>
      <c r="C132" s="258">
        <v>0.0</v>
      </c>
      <c r="D132" s="259">
        <v>0.0</v>
      </c>
      <c r="E132" s="260" t="str">
        <f t="shared" si="73"/>
        <v>#DIV/0!</v>
      </c>
      <c r="F132" s="261">
        <v>0.09</v>
      </c>
      <c r="G132" s="262" t="str">
        <f t="shared" si="74"/>
        <v>#DIV/0!</v>
      </c>
      <c r="H132" s="263">
        <v>0.0</v>
      </c>
      <c r="I132" s="264" t="str">
        <f t="shared" si="75"/>
        <v>#DIV/0!</v>
      </c>
      <c r="J132" s="261">
        <v>15.0</v>
      </c>
      <c r="K132" s="262">
        <v>0.0</v>
      </c>
      <c r="L132" s="262">
        <v>0.0</v>
      </c>
      <c r="M132" s="264" t="str">
        <f t="shared" si="76"/>
        <v>#DIV/0!</v>
      </c>
      <c r="N132" s="265">
        <v>3.0</v>
      </c>
      <c r="O132" s="267" t="str">
        <f t="shared" si="77"/>
        <v>#DIV/0!</v>
      </c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  <c r="AA132" s="235"/>
      <c r="AB132" s="235"/>
      <c r="AC132" s="235"/>
      <c r="AD132" s="235"/>
      <c r="AE132" s="235"/>
    </row>
    <row r="133" ht="30.0" customHeight="1">
      <c r="A133" s="250" t="s">
        <v>221</v>
      </c>
      <c r="B133" s="250" t="s">
        <v>222</v>
      </c>
      <c r="C133" s="124">
        <v>2000.0</v>
      </c>
      <c r="D133" s="124">
        <v>4.0</v>
      </c>
      <c r="E133" s="171">
        <f t="shared" si="73"/>
        <v>500</v>
      </c>
      <c r="F133" s="243">
        <v>0.03</v>
      </c>
      <c r="G133" s="244">
        <f t="shared" si="74"/>
        <v>15</v>
      </c>
      <c r="H133" s="245">
        <v>0.06</v>
      </c>
      <c r="I133" s="127">
        <f t="shared" si="75"/>
        <v>30</v>
      </c>
      <c r="J133" s="125">
        <v>20.0</v>
      </c>
      <c r="K133" s="125">
        <v>0.0</v>
      </c>
      <c r="L133" s="125">
        <v>0.0</v>
      </c>
      <c r="M133" s="127">
        <f t="shared" si="76"/>
        <v>65</v>
      </c>
      <c r="N133" s="246">
        <v>3.0</v>
      </c>
      <c r="O133" s="213">
        <f t="shared" ref="O133:O134" si="78">SUM(M133*N133)+M133</f>
        <v>260</v>
      </c>
      <c r="P133" s="27">
        <f t="shared" ref="P133:P137" si="79">O133/C133</f>
        <v>0.13</v>
      </c>
      <c r="Q133" s="27">
        <f t="shared" ref="Q133:Q137" si="80">M133/C133</f>
        <v>0.0325</v>
      </c>
    </row>
    <row r="134" ht="30.0" customHeight="1">
      <c r="A134" s="250"/>
      <c r="B134" s="250" t="s">
        <v>223</v>
      </c>
      <c r="C134" s="124">
        <v>12.0</v>
      </c>
      <c r="D134" s="124">
        <v>1.0</v>
      </c>
      <c r="E134" s="171">
        <f t="shared" si="73"/>
        <v>12</v>
      </c>
      <c r="F134" s="243">
        <v>0.16</v>
      </c>
      <c r="G134" s="244">
        <f t="shared" si="74"/>
        <v>1.92</v>
      </c>
      <c r="H134" s="245">
        <v>0.06</v>
      </c>
      <c r="I134" s="127">
        <f t="shared" si="75"/>
        <v>0.72</v>
      </c>
      <c r="J134" s="125">
        <v>0.0</v>
      </c>
      <c r="K134" s="125">
        <v>0.0</v>
      </c>
      <c r="L134" s="125">
        <v>0.0</v>
      </c>
      <c r="M134" s="127">
        <f t="shared" si="76"/>
        <v>2.64</v>
      </c>
      <c r="N134" s="246">
        <v>3.0</v>
      </c>
      <c r="O134" s="213">
        <f t="shared" si="78"/>
        <v>10.56</v>
      </c>
      <c r="P134" s="27">
        <f t="shared" si="79"/>
        <v>0.88</v>
      </c>
      <c r="Q134" s="27">
        <f t="shared" si="80"/>
        <v>0.22</v>
      </c>
    </row>
    <row r="135" ht="30.0" customHeight="1">
      <c r="A135" s="250" t="s">
        <v>224</v>
      </c>
      <c r="B135" s="250" t="s">
        <v>225</v>
      </c>
      <c r="C135" s="251">
        <v>500.0</v>
      </c>
      <c r="D135" s="165">
        <v>2.0</v>
      </c>
      <c r="E135" s="167">
        <f t="shared" si="73"/>
        <v>250</v>
      </c>
      <c r="F135" s="252">
        <v>0.09</v>
      </c>
      <c r="G135" s="253">
        <f t="shared" si="74"/>
        <v>22.5</v>
      </c>
      <c r="H135" s="254">
        <v>0.04</v>
      </c>
      <c r="I135" s="169">
        <f t="shared" si="75"/>
        <v>10</v>
      </c>
      <c r="J135" s="166">
        <v>10.0</v>
      </c>
      <c r="K135" s="168">
        <v>0.0</v>
      </c>
      <c r="L135" s="168">
        <v>0.0</v>
      </c>
      <c r="M135" s="169">
        <f t="shared" si="76"/>
        <v>42.5</v>
      </c>
      <c r="N135" s="256">
        <v>2.8</v>
      </c>
      <c r="O135" s="213">
        <f t="shared" ref="O135:O138" si="81">SUM((M135*N135)+M135)</f>
        <v>161.5</v>
      </c>
      <c r="P135" s="27">
        <f t="shared" si="79"/>
        <v>0.323</v>
      </c>
      <c r="Q135" s="27">
        <f t="shared" si="80"/>
        <v>0.085</v>
      </c>
    </row>
    <row r="136" ht="30.0" customHeight="1">
      <c r="A136" s="250"/>
      <c r="B136" s="250"/>
      <c r="C136" s="251">
        <v>1000.0</v>
      </c>
      <c r="D136" s="165">
        <v>2.0</v>
      </c>
      <c r="E136" s="167">
        <f t="shared" si="73"/>
        <v>500</v>
      </c>
      <c r="F136" s="252">
        <v>0.09</v>
      </c>
      <c r="G136" s="253">
        <f t="shared" si="74"/>
        <v>45</v>
      </c>
      <c r="H136" s="254">
        <v>0.04</v>
      </c>
      <c r="I136" s="169">
        <f t="shared" si="75"/>
        <v>20</v>
      </c>
      <c r="J136" s="166">
        <v>15.0</v>
      </c>
      <c r="K136" s="168">
        <v>0.0</v>
      </c>
      <c r="L136" s="168">
        <v>0.0</v>
      </c>
      <c r="M136" s="169">
        <f t="shared" si="76"/>
        <v>80</v>
      </c>
      <c r="N136" s="256">
        <v>1.4</v>
      </c>
      <c r="O136" s="213">
        <f t="shared" si="81"/>
        <v>192</v>
      </c>
      <c r="P136" s="27">
        <f t="shared" si="79"/>
        <v>0.192</v>
      </c>
      <c r="Q136" s="27">
        <f t="shared" si="80"/>
        <v>0.08</v>
      </c>
    </row>
    <row r="137" ht="30.0" customHeight="1">
      <c r="A137" s="250"/>
      <c r="B137" s="250"/>
      <c r="C137" s="251">
        <v>2000.0</v>
      </c>
      <c r="D137" s="165">
        <v>2.0</v>
      </c>
      <c r="E137" s="167">
        <f t="shared" si="73"/>
        <v>1000</v>
      </c>
      <c r="F137" s="252">
        <v>0.09</v>
      </c>
      <c r="G137" s="253">
        <f t="shared" si="74"/>
        <v>90</v>
      </c>
      <c r="H137" s="254">
        <v>0.04</v>
      </c>
      <c r="I137" s="169">
        <f t="shared" si="75"/>
        <v>40</v>
      </c>
      <c r="J137" s="166">
        <v>25.0</v>
      </c>
      <c r="K137" s="168">
        <v>0.0</v>
      </c>
      <c r="L137" s="168">
        <v>0.0</v>
      </c>
      <c r="M137" s="169">
        <f t="shared" si="76"/>
        <v>155</v>
      </c>
      <c r="N137" s="256">
        <v>0.4</v>
      </c>
      <c r="O137" s="213">
        <f t="shared" si="81"/>
        <v>217</v>
      </c>
      <c r="P137" s="27">
        <f t="shared" si="79"/>
        <v>0.1085</v>
      </c>
      <c r="Q137" s="27">
        <f t="shared" si="80"/>
        <v>0.0775</v>
      </c>
    </row>
    <row r="138" ht="9.0" customHeight="1">
      <c r="A138" s="257"/>
      <c r="B138" s="257"/>
      <c r="C138" s="258">
        <v>0.0</v>
      </c>
      <c r="D138" s="259">
        <v>0.0</v>
      </c>
      <c r="E138" s="260" t="str">
        <f t="shared" si="73"/>
        <v>#DIV/0!</v>
      </c>
      <c r="F138" s="261">
        <v>0.09</v>
      </c>
      <c r="G138" s="262" t="str">
        <f t="shared" si="74"/>
        <v>#DIV/0!</v>
      </c>
      <c r="H138" s="263">
        <v>0.0</v>
      </c>
      <c r="I138" s="264" t="str">
        <f t="shared" si="75"/>
        <v>#DIV/0!</v>
      </c>
      <c r="J138" s="261">
        <v>15.0</v>
      </c>
      <c r="K138" s="262">
        <v>0.0</v>
      </c>
      <c r="L138" s="262">
        <v>0.0</v>
      </c>
      <c r="M138" s="264" t="str">
        <f t="shared" si="76"/>
        <v>#DIV/0!</v>
      </c>
      <c r="N138" s="265">
        <v>3.0</v>
      </c>
      <c r="O138" s="267" t="str">
        <f t="shared" si="81"/>
        <v>#DIV/0!</v>
      </c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  <c r="AA138" s="235"/>
      <c r="AB138" s="235"/>
      <c r="AC138" s="235"/>
      <c r="AD138" s="235"/>
      <c r="AE138" s="235"/>
    </row>
    <row r="139" ht="30.0" customHeight="1">
      <c r="A139" s="250" t="s">
        <v>226</v>
      </c>
      <c r="B139" s="250" t="s">
        <v>227</v>
      </c>
      <c r="C139" s="124">
        <v>100.0</v>
      </c>
      <c r="D139" s="124">
        <v>4.0</v>
      </c>
      <c r="E139" s="171">
        <f t="shared" si="73"/>
        <v>25</v>
      </c>
      <c r="F139" s="243">
        <v>0.09</v>
      </c>
      <c r="G139" s="244">
        <f t="shared" si="74"/>
        <v>2.25</v>
      </c>
      <c r="H139" s="245">
        <v>0.09</v>
      </c>
      <c r="I139" s="127">
        <f t="shared" si="75"/>
        <v>2.25</v>
      </c>
      <c r="J139" s="125">
        <v>20.0</v>
      </c>
      <c r="K139" s="125">
        <v>0.0</v>
      </c>
      <c r="L139" s="125">
        <v>0.0</v>
      </c>
      <c r="M139" s="127">
        <f t="shared" si="76"/>
        <v>24.5</v>
      </c>
      <c r="N139" s="246">
        <v>3.0</v>
      </c>
      <c r="O139" s="213">
        <f t="shared" ref="O139:O140" si="82">SUM(M139*N139)+M139</f>
        <v>98</v>
      </c>
      <c r="P139" s="27">
        <f t="shared" ref="P139:P142" si="83">O139/C139</f>
        <v>0.98</v>
      </c>
      <c r="Q139" s="27">
        <f t="shared" ref="Q139:Q142" si="84">M139/C139</f>
        <v>0.245</v>
      </c>
    </row>
    <row r="140" ht="30.0" customHeight="1">
      <c r="A140" s="250" t="s">
        <v>226</v>
      </c>
      <c r="B140" s="250" t="s">
        <v>227</v>
      </c>
      <c r="C140" s="124">
        <v>100.0</v>
      </c>
      <c r="D140" s="124">
        <v>4.0</v>
      </c>
      <c r="E140" s="171">
        <f t="shared" si="73"/>
        <v>25</v>
      </c>
      <c r="F140" s="243">
        <v>0.09</v>
      </c>
      <c r="G140" s="244">
        <f t="shared" si="74"/>
        <v>2.25</v>
      </c>
      <c r="H140" s="245">
        <v>0.04</v>
      </c>
      <c r="I140" s="127">
        <f t="shared" si="75"/>
        <v>1</v>
      </c>
      <c r="J140" s="125">
        <v>20.0</v>
      </c>
      <c r="K140" s="125">
        <v>0.0</v>
      </c>
      <c r="L140" s="125">
        <v>0.0</v>
      </c>
      <c r="M140" s="127">
        <f t="shared" si="76"/>
        <v>23.25</v>
      </c>
      <c r="N140" s="246">
        <v>3.0</v>
      </c>
      <c r="O140" s="213">
        <f t="shared" si="82"/>
        <v>93</v>
      </c>
      <c r="P140" s="27">
        <f t="shared" si="83"/>
        <v>0.93</v>
      </c>
      <c r="Q140" s="27">
        <f t="shared" si="84"/>
        <v>0.2325</v>
      </c>
    </row>
    <row r="141" ht="30.0" customHeight="1">
      <c r="A141" s="250" t="s">
        <v>226</v>
      </c>
      <c r="B141" s="250" t="s">
        <v>225</v>
      </c>
      <c r="C141" s="251">
        <v>1000.0</v>
      </c>
      <c r="D141" s="165">
        <v>2.0</v>
      </c>
      <c r="E141" s="167">
        <f t="shared" si="73"/>
        <v>500</v>
      </c>
      <c r="F141" s="252">
        <v>0.09</v>
      </c>
      <c r="G141" s="253">
        <f t="shared" si="74"/>
        <v>45</v>
      </c>
      <c r="H141" s="254">
        <v>0.06</v>
      </c>
      <c r="I141" s="169">
        <f t="shared" si="75"/>
        <v>30</v>
      </c>
      <c r="J141" s="166">
        <v>5.0</v>
      </c>
      <c r="K141" s="168">
        <v>0.0</v>
      </c>
      <c r="L141" s="168">
        <v>0.0</v>
      </c>
      <c r="M141" s="169">
        <f t="shared" si="76"/>
        <v>80</v>
      </c>
      <c r="N141" s="256">
        <v>3.0</v>
      </c>
      <c r="O141" s="213">
        <f t="shared" ref="O141:O144" si="85">SUM((M141*N141)+M141)</f>
        <v>320</v>
      </c>
      <c r="P141" s="27">
        <f t="shared" si="83"/>
        <v>0.32</v>
      </c>
      <c r="Q141" s="27">
        <f t="shared" si="84"/>
        <v>0.08</v>
      </c>
    </row>
    <row r="142" ht="30.0" customHeight="1">
      <c r="A142" s="250" t="s">
        <v>228</v>
      </c>
      <c r="B142" s="250" t="s">
        <v>215</v>
      </c>
      <c r="C142" s="251">
        <v>1000.0</v>
      </c>
      <c r="D142" s="165">
        <v>21.0</v>
      </c>
      <c r="E142" s="167">
        <f t="shared" si="73"/>
        <v>47.61904762</v>
      </c>
      <c r="F142" s="252">
        <v>0.16</v>
      </c>
      <c r="G142" s="253">
        <f t="shared" si="74"/>
        <v>7.619047619</v>
      </c>
      <c r="H142" s="254">
        <v>0.15</v>
      </c>
      <c r="I142" s="169">
        <f t="shared" si="75"/>
        <v>7.142857143</v>
      </c>
      <c r="J142" s="166">
        <v>15.0</v>
      </c>
      <c r="K142" s="166">
        <v>5.0</v>
      </c>
      <c r="L142" s="166">
        <v>0.0</v>
      </c>
      <c r="M142" s="169">
        <f t="shared" si="76"/>
        <v>34.76190476</v>
      </c>
      <c r="N142" s="256">
        <v>1.5</v>
      </c>
      <c r="O142" s="213">
        <f t="shared" si="85"/>
        <v>86.9047619</v>
      </c>
      <c r="P142" s="27">
        <f t="shared" si="83"/>
        <v>0.0869047619</v>
      </c>
      <c r="Q142" s="27">
        <f t="shared" si="84"/>
        <v>0.03476190476</v>
      </c>
    </row>
    <row r="143" ht="9.0" customHeight="1">
      <c r="A143" s="257"/>
      <c r="B143" s="257"/>
      <c r="C143" s="258">
        <v>0.0</v>
      </c>
      <c r="D143" s="259">
        <v>0.0</v>
      </c>
      <c r="E143" s="260" t="str">
        <f t="shared" si="73"/>
        <v>#DIV/0!</v>
      </c>
      <c r="F143" s="261">
        <v>0.09</v>
      </c>
      <c r="G143" s="262" t="str">
        <f t="shared" si="74"/>
        <v>#DIV/0!</v>
      </c>
      <c r="H143" s="263">
        <v>0.0</v>
      </c>
      <c r="I143" s="264" t="str">
        <f t="shared" si="75"/>
        <v>#DIV/0!</v>
      </c>
      <c r="J143" s="261">
        <v>15.0</v>
      </c>
      <c r="K143" s="262">
        <v>0.0</v>
      </c>
      <c r="L143" s="262">
        <v>0.0</v>
      </c>
      <c r="M143" s="264" t="str">
        <f t="shared" si="76"/>
        <v>#DIV/0!</v>
      </c>
      <c r="N143" s="265">
        <v>3.0</v>
      </c>
      <c r="O143" s="267" t="str">
        <f t="shared" si="85"/>
        <v>#DIV/0!</v>
      </c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5"/>
      <c r="AE143" s="235"/>
    </row>
    <row r="144" ht="30.0" customHeight="1">
      <c r="A144" s="250" t="s">
        <v>229</v>
      </c>
      <c r="B144" s="250" t="s">
        <v>225</v>
      </c>
      <c r="C144" s="251">
        <v>100.0</v>
      </c>
      <c r="D144" s="165">
        <v>2.0</v>
      </c>
      <c r="E144" s="167">
        <f t="shared" si="73"/>
        <v>50</v>
      </c>
      <c r="F144" s="252">
        <v>0.09</v>
      </c>
      <c r="G144" s="253">
        <f t="shared" si="74"/>
        <v>4.5</v>
      </c>
      <c r="H144" s="254">
        <v>0.04</v>
      </c>
      <c r="I144" s="169">
        <f t="shared" si="75"/>
        <v>2</v>
      </c>
      <c r="J144" s="166">
        <v>5.0</v>
      </c>
      <c r="K144" s="168">
        <v>0.0</v>
      </c>
      <c r="L144" s="168">
        <v>0.0</v>
      </c>
      <c r="M144" s="169">
        <f t="shared" si="76"/>
        <v>11.5</v>
      </c>
      <c r="N144" s="256">
        <v>3.0</v>
      </c>
      <c r="O144" s="213">
        <f t="shared" si="85"/>
        <v>46</v>
      </c>
      <c r="P144" s="27">
        <f t="shared" ref="P144:P169" si="86">O144/C144</f>
        <v>0.46</v>
      </c>
      <c r="Q144" s="27">
        <f t="shared" ref="Q144:Q147" si="87">M144/C144</f>
        <v>0.115</v>
      </c>
    </row>
    <row r="145">
      <c r="A145" s="250" t="s">
        <v>230</v>
      </c>
      <c r="B145" s="250" t="s">
        <v>231</v>
      </c>
      <c r="C145" s="227">
        <v>80.0</v>
      </c>
      <c r="D145" s="227">
        <v>8.0</v>
      </c>
      <c r="E145" s="218">
        <f t="shared" si="73"/>
        <v>10</v>
      </c>
      <c r="F145" s="219">
        <v>0.16</v>
      </c>
      <c r="G145" s="220">
        <f t="shared" si="74"/>
        <v>1.6</v>
      </c>
      <c r="H145" s="281">
        <v>0.15</v>
      </c>
      <c r="I145" s="222">
        <f t="shared" si="75"/>
        <v>1.5</v>
      </c>
      <c r="J145" s="228">
        <v>5.0</v>
      </c>
      <c r="K145" s="228">
        <v>0.0</v>
      </c>
      <c r="L145" s="223">
        <v>0.0</v>
      </c>
      <c r="M145" s="222">
        <f t="shared" si="76"/>
        <v>8.1</v>
      </c>
      <c r="N145" s="282">
        <v>1.5</v>
      </c>
      <c r="O145" s="213">
        <f t="shared" ref="O145:O146" si="88">SUM(M145*N145)+M145</f>
        <v>20.25</v>
      </c>
      <c r="P145" s="27">
        <f t="shared" si="86"/>
        <v>0.253125</v>
      </c>
      <c r="Q145" s="27">
        <f t="shared" si="87"/>
        <v>0.10125</v>
      </c>
    </row>
    <row r="146">
      <c r="A146" s="250" t="s">
        <v>147</v>
      </c>
      <c r="B146" s="250" t="s">
        <v>232</v>
      </c>
      <c r="C146" s="227">
        <v>1250.0</v>
      </c>
      <c r="D146" s="227">
        <v>1.0</v>
      </c>
      <c r="E146" s="218">
        <f t="shared" si="73"/>
        <v>1250</v>
      </c>
      <c r="F146" s="283">
        <v>0.09</v>
      </c>
      <c r="G146" s="220">
        <f t="shared" si="74"/>
        <v>112.5</v>
      </c>
      <c r="H146" s="281">
        <v>0.06</v>
      </c>
      <c r="I146" s="222">
        <f t="shared" si="75"/>
        <v>75</v>
      </c>
      <c r="J146" s="228">
        <v>20.0</v>
      </c>
      <c r="K146" s="228">
        <v>0.0</v>
      </c>
      <c r="L146" s="223">
        <v>0.0</v>
      </c>
      <c r="M146" s="222">
        <f t="shared" si="76"/>
        <v>207.5</v>
      </c>
      <c r="N146" s="282">
        <v>0.3</v>
      </c>
      <c r="O146" s="213">
        <f t="shared" si="88"/>
        <v>269.75</v>
      </c>
      <c r="P146" s="27">
        <f t="shared" si="86"/>
        <v>0.2158</v>
      </c>
      <c r="Q146" s="27">
        <f t="shared" si="87"/>
        <v>0.166</v>
      </c>
    </row>
    <row r="147" ht="30.0" customHeight="1">
      <c r="A147" s="250" t="s">
        <v>233</v>
      </c>
      <c r="B147" s="250" t="s">
        <v>215</v>
      </c>
      <c r="C147" s="251">
        <v>1260.0</v>
      </c>
      <c r="D147" s="165">
        <v>21.0</v>
      </c>
      <c r="E147" s="167">
        <f t="shared" si="73"/>
        <v>60</v>
      </c>
      <c r="F147" s="252">
        <v>0.16</v>
      </c>
      <c r="G147" s="253">
        <f t="shared" si="74"/>
        <v>9.6</v>
      </c>
      <c r="H147" s="254">
        <v>0.15</v>
      </c>
      <c r="I147" s="169">
        <f t="shared" si="75"/>
        <v>9</v>
      </c>
      <c r="J147" s="166">
        <v>15.0</v>
      </c>
      <c r="K147" s="168">
        <f>N7</f>
        <v>7.68</v>
      </c>
      <c r="L147" s="166">
        <v>0.0</v>
      </c>
      <c r="M147" s="169">
        <f t="shared" si="76"/>
        <v>41.28</v>
      </c>
      <c r="N147" s="256">
        <v>2.0</v>
      </c>
      <c r="O147" s="213">
        <f t="shared" ref="O147:O169" si="89">SUM((M147*N147)+M147)</f>
        <v>123.84</v>
      </c>
      <c r="P147" s="27">
        <f t="shared" si="86"/>
        <v>0.09828571429</v>
      </c>
      <c r="Q147" s="27">
        <f t="shared" si="87"/>
        <v>0.03276190476</v>
      </c>
    </row>
    <row r="148" ht="30.0" customHeight="1">
      <c r="A148" s="250" t="s">
        <v>234</v>
      </c>
      <c r="B148" s="250" t="s">
        <v>209</v>
      </c>
      <c r="C148" s="251">
        <v>1000.0</v>
      </c>
      <c r="D148" s="165">
        <v>1.0</v>
      </c>
      <c r="E148" s="167">
        <f t="shared" si="73"/>
        <v>1000</v>
      </c>
      <c r="F148" s="252">
        <v>0.16</v>
      </c>
      <c r="G148" s="253">
        <f t="shared" si="74"/>
        <v>160</v>
      </c>
      <c r="H148" s="254">
        <v>0.09</v>
      </c>
      <c r="I148" s="169">
        <f t="shared" si="75"/>
        <v>90</v>
      </c>
      <c r="J148" s="166">
        <v>70.0</v>
      </c>
      <c r="K148" s="166">
        <v>320.0</v>
      </c>
      <c r="L148" s="168">
        <v>0.0</v>
      </c>
      <c r="M148" s="169">
        <f t="shared" si="76"/>
        <v>640</v>
      </c>
      <c r="N148" s="256">
        <v>1.5</v>
      </c>
      <c r="O148" s="213">
        <f t="shared" si="89"/>
        <v>1600</v>
      </c>
      <c r="P148" s="27">
        <f t="shared" si="86"/>
        <v>1.6</v>
      </c>
    </row>
    <row r="149" ht="30.0" customHeight="1">
      <c r="A149" s="250" t="s">
        <v>230</v>
      </c>
      <c r="B149" s="250" t="s">
        <v>235</v>
      </c>
      <c r="C149" s="251">
        <v>30.0</v>
      </c>
      <c r="D149" s="165">
        <v>1.0</v>
      </c>
      <c r="E149" s="167">
        <f t="shared" si="73"/>
        <v>30</v>
      </c>
      <c r="F149" s="252">
        <v>0.16</v>
      </c>
      <c r="G149" s="253">
        <f t="shared" si="74"/>
        <v>4.8</v>
      </c>
      <c r="H149" s="254">
        <v>0.09</v>
      </c>
      <c r="I149" s="169">
        <f t="shared" si="75"/>
        <v>2.7</v>
      </c>
      <c r="J149" s="166">
        <v>5.0</v>
      </c>
      <c r="K149" s="166">
        <v>0.0</v>
      </c>
      <c r="L149" s="168">
        <v>0.0</v>
      </c>
      <c r="M149" s="169">
        <f t="shared" si="76"/>
        <v>12.5</v>
      </c>
      <c r="N149" s="256">
        <v>0.2</v>
      </c>
      <c r="O149" s="213">
        <f t="shared" si="89"/>
        <v>15</v>
      </c>
      <c r="P149" s="27">
        <f t="shared" si="86"/>
        <v>0.5</v>
      </c>
    </row>
    <row r="150" ht="30.0" customHeight="1">
      <c r="A150" s="250" t="s">
        <v>236</v>
      </c>
      <c r="B150" s="250" t="s">
        <v>237</v>
      </c>
      <c r="C150" s="251">
        <v>200.0</v>
      </c>
      <c r="D150" s="165">
        <v>1.0</v>
      </c>
      <c r="E150" s="167">
        <f t="shared" si="73"/>
        <v>200</v>
      </c>
      <c r="F150" s="252">
        <v>0.16</v>
      </c>
      <c r="G150" s="253">
        <f t="shared" si="74"/>
        <v>32</v>
      </c>
      <c r="H150" s="254">
        <v>0.06</v>
      </c>
      <c r="I150" s="169">
        <f t="shared" si="75"/>
        <v>12</v>
      </c>
      <c r="J150" s="166">
        <v>10.0</v>
      </c>
      <c r="K150" s="166">
        <v>0.0</v>
      </c>
      <c r="L150" s="168">
        <v>0.0</v>
      </c>
      <c r="M150" s="169">
        <f t="shared" si="76"/>
        <v>54</v>
      </c>
      <c r="N150" s="256">
        <v>2.0</v>
      </c>
      <c r="O150" s="213">
        <f t="shared" si="89"/>
        <v>162</v>
      </c>
      <c r="P150" s="27">
        <f t="shared" si="86"/>
        <v>0.81</v>
      </c>
    </row>
    <row r="151" ht="30.0" customHeight="1">
      <c r="A151" s="250" t="s">
        <v>205</v>
      </c>
      <c r="B151" s="250" t="s">
        <v>238</v>
      </c>
      <c r="C151" s="251">
        <v>19.0</v>
      </c>
      <c r="D151" s="165">
        <v>1.0</v>
      </c>
      <c r="E151" s="167">
        <f t="shared" si="73"/>
        <v>19</v>
      </c>
      <c r="F151" s="252">
        <v>0.16</v>
      </c>
      <c r="G151" s="253">
        <f t="shared" si="74"/>
        <v>3.04</v>
      </c>
      <c r="H151" s="254">
        <v>0.0</v>
      </c>
      <c r="I151" s="169">
        <f t="shared" si="75"/>
        <v>0</v>
      </c>
      <c r="J151" s="166">
        <v>5.0</v>
      </c>
      <c r="K151" s="166">
        <v>0.0</v>
      </c>
      <c r="L151" s="168">
        <v>0.0</v>
      </c>
      <c r="M151" s="169">
        <f t="shared" si="76"/>
        <v>8.04</v>
      </c>
      <c r="N151" s="256">
        <v>0.2</v>
      </c>
      <c r="O151" s="213">
        <f t="shared" si="89"/>
        <v>9.648</v>
      </c>
      <c r="P151" s="27">
        <f t="shared" si="86"/>
        <v>0.5077894737</v>
      </c>
    </row>
    <row r="152" ht="30.0" customHeight="1">
      <c r="A152" s="250" t="s">
        <v>239</v>
      </c>
      <c r="B152" s="250" t="s">
        <v>240</v>
      </c>
      <c r="C152" s="251">
        <v>2000.0</v>
      </c>
      <c r="D152" s="165">
        <v>40.0</v>
      </c>
      <c r="E152" s="167">
        <f t="shared" si="73"/>
        <v>50</v>
      </c>
      <c r="F152" s="252">
        <v>0.09</v>
      </c>
      <c r="G152" s="253">
        <f t="shared" si="74"/>
        <v>4.5</v>
      </c>
      <c r="H152" s="254">
        <v>0.38</v>
      </c>
      <c r="I152" s="169">
        <f t="shared" si="75"/>
        <v>19</v>
      </c>
      <c r="J152" s="166">
        <v>15.0</v>
      </c>
      <c r="K152" s="166">
        <v>0.0</v>
      </c>
      <c r="L152" s="168">
        <v>0.0</v>
      </c>
      <c r="M152" s="169">
        <f t="shared" si="76"/>
        <v>38.5</v>
      </c>
      <c r="N152" s="256">
        <v>3.0</v>
      </c>
      <c r="O152" s="213">
        <f t="shared" si="89"/>
        <v>154</v>
      </c>
      <c r="P152" s="27">
        <f t="shared" si="86"/>
        <v>0.077</v>
      </c>
    </row>
    <row r="153" ht="30.0" customHeight="1">
      <c r="A153" s="250" t="s">
        <v>241</v>
      </c>
      <c r="B153" s="250" t="s">
        <v>242</v>
      </c>
      <c r="C153" s="251">
        <v>1500.0</v>
      </c>
      <c r="D153" s="165">
        <v>2.0</v>
      </c>
      <c r="E153" s="167">
        <f t="shared" si="73"/>
        <v>750</v>
      </c>
      <c r="F153" s="252">
        <v>0.09</v>
      </c>
      <c r="G153" s="253">
        <f t="shared" si="74"/>
        <v>67.5</v>
      </c>
      <c r="H153" s="254">
        <v>0.1</v>
      </c>
      <c r="I153" s="169">
        <f t="shared" si="75"/>
        <v>75</v>
      </c>
      <c r="J153" s="166">
        <v>15.0</v>
      </c>
      <c r="K153" s="166">
        <v>0.0</v>
      </c>
      <c r="L153" s="168">
        <v>0.0</v>
      </c>
      <c r="M153" s="169">
        <f t="shared" si="76"/>
        <v>157.5</v>
      </c>
      <c r="N153" s="256">
        <v>3.0</v>
      </c>
      <c r="O153" s="213">
        <f t="shared" si="89"/>
        <v>630</v>
      </c>
      <c r="P153" s="27">
        <f t="shared" si="86"/>
        <v>0.42</v>
      </c>
      <c r="Q153" s="27">
        <f t="shared" ref="Q153:Q169" si="90">M153/C153</f>
        <v>0.105</v>
      </c>
    </row>
    <row r="154" ht="30.0" customHeight="1">
      <c r="A154" s="250" t="s">
        <v>241</v>
      </c>
      <c r="B154" s="250" t="s">
        <v>242</v>
      </c>
      <c r="C154" s="251">
        <v>750.0</v>
      </c>
      <c r="D154" s="165">
        <v>2.0</v>
      </c>
      <c r="E154" s="167">
        <f t="shared" si="73"/>
        <v>375</v>
      </c>
      <c r="F154" s="252">
        <v>0.09</v>
      </c>
      <c r="G154" s="253">
        <f t="shared" si="74"/>
        <v>33.75</v>
      </c>
      <c r="H154" s="254">
        <v>0.1</v>
      </c>
      <c r="I154" s="169">
        <f t="shared" si="75"/>
        <v>37.5</v>
      </c>
      <c r="J154" s="166">
        <v>15.0</v>
      </c>
      <c r="K154" s="166">
        <v>0.0</v>
      </c>
      <c r="L154" s="168">
        <v>0.0</v>
      </c>
      <c r="M154" s="169">
        <f t="shared" si="76"/>
        <v>86.25</v>
      </c>
      <c r="N154" s="256">
        <v>3.0</v>
      </c>
      <c r="O154" s="213">
        <f t="shared" si="89"/>
        <v>345</v>
      </c>
      <c r="P154" s="27">
        <f t="shared" si="86"/>
        <v>0.46</v>
      </c>
      <c r="Q154" s="27">
        <f t="shared" si="90"/>
        <v>0.115</v>
      </c>
    </row>
    <row r="155" ht="30.0" customHeight="1">
      <c r="A155" s="250" t="s">
        <v>241</v>
      </c>
      <c r="B155" s="250" t="s">
        <v>243</v>
      </c>
      <c r="C155" s="251">
        <v>200.0</v>
      </c>
      <c r="D155" s="165">
        <v>4.0</v>
      </c>
      <c r="E155" s="167">
        <f t="shared" si="73"/>
        <v>50</v>
      </c>
      <c r="F155" s="252">
        <v>0.09</v>
      </c>
      <c r="G155" s="253">
        <f t="shared" si="74"/>
        <v>4.5</v>
      </c>
      <c r="H155" s="254">
        <v>0.78</v>
      </c>
      <c r="I155" s="169">
        <f t="shared" si="75"/>
        <v>39</v>
      </c>
      <c r="J155" s="166">
        <v>5.0</v>
      </c>
      <c r="K155" s="166">
        <v>0.0</v>
      </c>
      <c r="L155" s="168">
        <v>0.0</v>
      </c>
      <c r="M155" s="169">
        <f t="shared" si="76"/>
        <v>48.5</v>
      </c>
      <c r="N155" s="256">
        <v>2.0</v>
      </c>
      <c r="O155" s="213">
        <f t="shared" si="89"/>
        <v>145.5</v>
      </c>
      <c r="P155" s="27">
        <f t="shared" si="86"/>
        <v>0.7275</v>
      </c>
      <c r="Q155" s="27">
        <f t="shared" si="90"/>
        <v>0.2425</v>
      </c>
    </row>
    <row r="156" ht="30.0" customHeight="1">
      <c r="A156" s="250" t="s">
        <v>244</v>
      </c>
      <c r="B156" s="250" t="s">
        <v>215</v>
      </c>
      <c r="C156" s="251">
        <v>200.0</v>
      </c>
      <c r="D156" s="165">
        <v>21.0</v>
      </c>
      <c r="E156" s="167">
        <f t="shared" si="73"/>
        <v>9.523809524</v>
      </c>
      <c r="F156" s="252">
        <v>0.16</v>
      </c>
      <c r="G156" s="253">
        <f t="shared" si="74"/>
        <v>1.523809524</v>
      </c>
      <c r="H156" s="254">
        <v>0.15</v>
      </c>
      <c r="I156" s="169">
        <f t="shared" si="75"/>
        <v>1.428571429</v>
      </c>
      <c r="J156" s="166">
        <v>5.0</v>
      </c>
      <c r="K156" s="166">
        <v>0.0</v>
      </c>
      <c r="L156" s="168">
        <v>0.0</v>
      </c>
      <c r="M156" s="169">
        <f t="shared" si="76"/>
        <v>7.952380952</v>
      </c>
      <c r="N156" s="256">
        <v>2.0</v>
      </c>
      <c r="O156" s="213">
        <f t="shared" si="89"/>
        <v>23.85714286</v>
      </c>
      <c r="P156" s="27">
        <f t="shared" si="86"/>
        <v>0.1192857143</v>
      </c>
      <c r="Q156" s="27">
        <f t="shared" si="90"/>
        <v>0.03976190476</v>
      </c>
    </row>
    <row r="157" ht="30.0" customHeight="1">
      <c r="A157" s="250" t="s">
        <v>245</v>
      </c>
      <c r="B157" s="250" t="s">
        <v>246</v>
      </c>
      <c r="C157" s="251">
        <v>1000.0</v>
      </c>
      <c r="D157" s="165">
        <v>16.0</v>
      </c>
      <c r="E157" s="167">
        <f t="shared" si="73"/>
        <v>62.5</v>
      </c>
      <c r="F157" s="252">
        <v>0.16</v>
      </c>
      <c r="G157" s="253">
        <f t="shared" si="74"/>
        <v>10</v>
      </c>
      <c r="H157" s="254">
        <v>0.15</v>
      </c>
      <c r="I157" s="169">
        <f t="shared" si="75"/>
        <v>9.375</v>
      </c>
      <c r="J157" s="166">
        <v>25.0</v>
      </c>
      <c r="K157" s="166">
        <v>20.16</v>
      </c>
      <c r="L157" s="168">
        <v>0.0</v>
      </c>
      <c r="M157" s="169">
        <f t="shared" si="76"/>
        <v>64.535</v>
      </c>
      <c r="N157" s="256">
        <v>1.5</v>
      </c>
      <c r="O157" s="213">
        <f t="shared" si="89"/>
        <v>161.3375</v>
      </c>
      <c r="P157" s="27">
        <f t="shared" si="86"/>
        <v>0.1613375</v>
      </c>
      <c r="Q157" s="27">
        <f t="shared" si="90"/>
        <v>0.064535</v>
      </c>
    </row>
    <row r="158" ht="30.0" customHeight="1">
      <c r="A158" s="250" t="s">
        <v>247</v>
      </c>
      <c r="B158" s="250" t="s">
        <v>247</v>
      </c>
      <c r="C158" s="251">
        <v>6.0</v>
      </c>
      <c r="D158" s="165">
        <v>1.0</v>
      </c>
      <c r="E158" s="167">
        <f t="shared" si="73"/>
        <v>6</v>
      </c>
      <c r="F158" s="252">
        <v>0.09</v>
      </c>
      <c r="G158" s="253">
        <f t="shared" si="74"/>
        <v>0.54</v>
      </c>
      <c r="H158" s="254">
        <v>0.09</v>
      </c>
      <c r="I158" s="169">
        <f t="shared" si="75"/>
        <v>0.54</v>
      </c>
      <c r="J158" s="166">
        <v>5.0</v>
      </c>
      <c r="K158" s="166">
        <v>0.0</v>
      </c>
      <c r="L158" s="168">
        <v>0.0</v>
      </c>
      <c r="M158" s="169">
        <f t="shared" si="76"/>
        <v>6.08</v>
      </c>
      <c r="N158" s="256">
        <v>3.0</v>
      </c>
      <c r="O158" s="213">
        <f t="shared" si="89"/>
        <v>24.32</v>
      </c>
      <c r="P158" s="27">
        <f t="shared" si="86"/>
        <v>4.053333333</v>
      </c>
      <c r="Q158" s="27">
        <f t="shared" si="90"/>
        <v>1.013333333</v>
      </c>
    </row>
    <row r="159" ht="30.0" customHeight="1">
      <c r="A159" s="250" t="s">
        <v>248</v>
      </c>
      <c r="B159" s="250" t="s">
        <v>247</v>
      </c>
      <c r="C159" s="251">
        <v>3.0</v>
      </c>
      <c r="D159" s="165">
        <v>1.0</v>
      </c>
      <c r="E159" s="167">
        <f t="shared" si="73"/>
        <v>3</v>
      </c>
      <c r="F159" s="252">
        <v>0.09</v>
      </c>
      <c r="G159" s="253">
        <f t="shared" si="74"/>
        <v>0.27</v>
      </c>
      <c r="H159" s="254">
        <v>0.09</v>
      </c>
      <c r="I159" s="169">
        <f t="shared" si="75"/>
        <v>0.27</v>
      </c>
      <c r="J159" s="166">
        <v>5.0</v>
      </c>
      <c r="K159" s="166">
        <v>0.0</v>
      </c>
      <c r="L159" s="168">
        <v>0.0</v>
      </c>
      <c r="M159" s="169">
        <f t="shared" si="76"/>
        <v>5.54</v>
      </c>
      <c r="N159" s="256">
        <v>2.0</v>
      </c>
      <c r="O159" s="213">
        <f t="shared" si="89"/>
        <v>16.62</v>
      </c>
      <c r="P159" s="27">
        <f t="shared" si="86"/>
        <v>5.54</v>
      </c>
      <c r="Q159" s="27">
        <f t="shared" si="90"/>
        <v>1.846666667</v>
      </c>
    </row>
    <row r="160" ht="30.0" customHeight="1">
      <c r="A160" s="250" t="s">
        <v>249</v>
      </c>
      <c r="B160" s="250" t="s">
        <v>249</v>
      </c>
      <c r="C160" s="251">
        <v>300.0</v>
      </c>
      <c r="D160" s="165">
        <v>21.0</v>
      </c>
      <c r="E160" s="284">
        <v>15.0</v>
      </c>
      <c r="F160" s="252">
        <v>0.16</v>
      </c>
      <c r="G160" s="253">
        <f t="shared" si="74"/>
        <v>2.4</v>
      </c>
      <c r="H160" s="254">
        <v>4.69</v>
      </c>
      <c r="I160" s="169">
        <f t="shared" si="75"/>
        <v>70.35</v>
      </c>
      <c r="J160" s="166">
        <v>5.0</v>
      </c>
      <c r="K160" s="166">
        <v>4.8</v>
      </c>
      <c r="L160" s="168">
        <v>0.0</v>
      </c>
      <c r="M160" s="169">
        <f t="shared" si="76"/>
        <v>82.55</v>
      </c>
      <c r="N160" s="256">
        <v>1.5</v>
      </c>
      <c r="O160" s="213">
        <f t="shared" si="89"/>
        <v>206.375</v>
      </c>
      <c r="P160" s="27">
        <f t="shared" si="86"/>
        <v>0.6879166667</v>
      </c>
      <c r="Q160" s="27">
        <f t="shared" si="90"/>
        <v>0.2751666667</v>
      </c>
    </row>
    <row r="161" ht="30.0" customHeight="1">
      <c r="A161" s="250" t="s">
        <v>250</v>
      </c>
      <c r="B161" s="250" t="s">
        <v>251</v>
      </c>
      <c r="C161" s="251">
        <v>2000.0</v>
      </c>
      <c r="D161" s="165">
        <v>4.0</v>
      </c>
      <c r="E161" s="167">
        <f t="shared" ref="E161:E169" si="91">SUM(C161/D161)</f>
        <v>500</v>
      </c>
      <c r="F161" s="252">
        <v>0.09</v>
      </c>
      <c r="G161" s="253">
        <f t="shared" si="74"/>
        <v>45</v>
      </c>
      <c r="H161" s="254">
        <v>0.06</v>
      </c>
      <c r="I161" s="169">
        <f t="shared" si="75"/>
        <v>30</v>
      </c>
      <c r="J161" s="166">
        <v>20.0</v>
      </c>
      <c r="K161" s="166">
        <v>0.0</v>
      </c>
      <c r="L161" s="168">
        <v>0.0</v>
      </c>
      <c r="M161" s="169">
        <f t="shared" si="76"/>
        <v>95</v>
      </c>
      <c r="N161" s="256">
        <v>3.0</v>
      </c>
      <c r="O161" s="213">
        <f t="shared" si="89"/>
        <v>380</v>
      </c>
      <c r="P161" s="27">
        <f t="shared" si="86"/>
        <v>0.19</v>
      </c>
      <c r="Q161" s="27">
        <f t="shared" si="90"/>
        <v>0.0475</v>
      </c>
    </row>
    <row r="162" ht="30.0" customHeight="1">
      <c r="A162" s="250" t="s">
        <v>252</v>
      </c>
      <c r="B162" s="250" t="s">
        <v>247</v>
      </c>
      <c r="C162" s="251">
        <v>2.0</v>
      </c>
      <c r="D162" s="165">
        <v>1.0</v>
      </c>
      <c r="E162" s="167">
        <f t="shared" si="91"/>
        <v>2</v>
      </c>
      <c r="F162" s="252">
        <v>0.09</v>
      </c>
      <c r="G162" s="253">
        <f t="shared" si="74"/>
        <v>0.18</v>
      </c>
      <c r="H162" s="254">
        <v>0.06</v>
      </c>
      <c r="I162" s="169">
        <f t="shared" si="75"/>
        <v>0.12</v>
      </c>
      <c r="J162" s="166">
        <v>0.0</v>
      </c>
      <c r="K162" s="166">
        <v>0.0</v>
      </c>
      <c r="L162" s="168">
        <v>0.0</v>
      </c>
      <c r="M162" s="169">
        <f t="shared" si="76"/>
        <v>0.3</v>
      </c>
      <c r="N162" s="256">
        <v>1.0</v>
      </c>
      <c r="O162" s="213">
        <f t="shared" si="89"/>
        <v>0.6</v>
      </c>
      <c r="P162" s="27">
        <f t="shared" si="86"/>
        <v>0.3</v>
      </c>
      <c r="Q162" s="27">
        <f t="shared" si="90"/>
        <v>0.15</v>
      </c>
    </row>
    <row r="163" ht="30.0" customHeight="1">
      <c r="A163" s="250" t="s">
        <v>252</v>
      </c>
      <c r="B163" s="250" t="s">
        <v>253</v>
      </c>
      <c r="C163" s="251">
        <v>9.0</v>
      </c>
      <c r="D163" s="165">
        <v>2.0</v>
      </c>
      <c r="E163" s="167">
        <f t="shared" si="91"/>
        <v>4.5</v>
      </c>
      <c r="F163" s="252">
        <v>0.09</v>
      </c>
      <c r="G163" s="253">
        <f t="shared" si="74"/>
        <v>0.405</v>
      </c>
      <c r="H163" s="254">
        <v>0.06</v>
      </c>
      <c r="I163" s="169">
        <f t="shared" si="75"/>
        <v>0.27</v>
      </c>
      <c r="J163" s="166">
        <v>5.0</v>
      </c>
      <c r="K163" s="166">
        <v>0.0</v>
      </c>
      <c r="L163" s="168">
        <v>0.0</v>
      </c>
      <c r="M163" s="169">
        <f t="shared" si="76"/>
        <v>5.675</v>
      </c>
      <c r="N163" s="256">
        <v>1.0</v>
      </c>
      <c r="O163" s="213">
        <f t="shared" si="89"/>
        <v>11.35</v>
      </c>
      <c r="P163" s="27">
        <f t="shared" si="86"/>
        <v>1.261111111</v>
      </c>
      <c r="Q163" s="27">
        <f t="shared" si="90"/>
        <v>0.6305555556</v>
      </c>
    </row>
    <row r="164" ht="30.0" customHeight="1">
      <c r="A164" s="250" t="s">
        <v>252</v>
      </c>
      <c r="B164" s="250" t="s">
        <v>248</v>
      </c>
      <c r="C164" s="251">
        <v>15.0</v>
      </c>
      <c r="D164" s="165">
        <v>1.0</v>
      </c>
      <c r="E164" s="167">
        <f t="shared" si="91"/>
        <v>15</v>
      </c>
      <c r="F164" s="252">
        <v>0.09</v>
      </c>
      <c r="G164" s="253">
        <f t="shared" si="74"/>
        <v>1.35</v>
      </c>
      <c r="H164" s="254">
        <v>0.06</v>
      </c>
      <c r="I164" s="169">
        <f t="shared" si="75"/>
        <v>0.9</v>
      </c>
      <c r="J164" s="166">
        <v>0.0</v>
      </c>
      <c r="K164" s="166">
        <v>0.0</v>
      </c>
      <c r="L164" s="168">
        <v>0.0</v>
      </c>
      <c r="M164" s="169">
        <f t="shared" si="76"/>
        <v>2.25</v>
      </c>
      <c r="N164" s="256">
        <v>1.0</v>
      </c>
      <c r="O164" s="213">
        <f t="shared" si="89"/>
        <v>4.5</v>
      </c>
      <c r="P164" s="27">
        <f t="shared" si="86"/>
        <v>0.3</v>
      </c>
      <c r="Q164" s="27">
        <f t="shared" si="90"/>
        <v>0.15</v>
      </c>
    </row>
    <row r="165" ht="30.0" customHeight="1">
      <c r="A165" s="250" t="s">
        <v>252</v>
      </c>
      <c r="B165" s="250" t="s">
        <v>254</v>
      </c>
      <c r="C165" s="251">
        <v>510.0</v>
      </c>
      <c r="D165" s="165">
        <v>15.0</v>
      </c>
      <c r="E165" s="167">
        <f t="shared" si="91"/>
        <v>34</v>
      </c>
      <c r="F165" s="252">
        <v>0.05</v>
      </c>
      <c r="G165" s="253">
        <f t="shared" si="74"/>
        <v>1.7</v>
      </c>
      <c r="H165" s="254">
        <v>0.06</v>
      </c>
      <c r="I165" s="169">
        <f t="shared" si="75"/>
        <v>2.04</v>
      </c>
      <c r="J165" s="166">
        <v>0.0</v>
      </c>
      <c r="K165" s="166">
        <v>0.0</v>
      </c>
      <c r="L165" s="168">
        <v>0.0</v>
      </c>
      <c r="M165" s="169">
        <f t="shared" si="76"/>
        <v>3.74</v>
      </c>
      <c r="N165" s="256">
        <v>1.0</v>
      </c>
      <c r="O165" s="213">
        <f t="shared" si="89"/>
        <v>7.48</v>
      </c>
      <c r="P165" s="27">
        <f t="shared" si="86"/>
        <v>0.01466666667</v>
      </c>
      <c r="Q165" s="27">
        <f t="shared" si="90"/>
        <v>0.007333333333</v>
      </c>
    </row>
    <row r="166" ht="30.0" customHeight="1">
      <c r="A166" s="250" t="s">
        <v>252</v>
      </c>
      <c r="B166" s="250" t="s">
        <v>253</v>
      </c>
      <c r="C166" s="251">
        <v>10.0</v>
      </c>
      <c r="D166" s="165">
        <v>1.0</v>
      </c>
      <c r="E166" s="167">
        <f t="shared" si="91"/>
        <v>10</v>
      </c>
      <c r="F166" s="252">
        <v>0.05</v>
      </c>
      <c r="G166" s="253">
        <f t="shared" si="74"/>
        <v>0.5</v>
      </c>
      <c r="H166" s="254">
        <v>0.06</v>
      </c>
      <c r="I166" s="169">
        <f t="shared" si="75"/>
        <v>0.6</v>
      </c>
      <c r="J166" s="166">
        <v>0.0</v>
      </c>
      <c r="K166" s="166">
        <v>0.0</v>
      </c>
      <c r="L166" s="168">
        <v>0.0</v>
      </c>
      <c r="M166" s="169">
        <f t="shared" si="76"/>
        <v>1.1</v>
      </c>
      <c r="N166" s="256">
        <v>1.0</v>
      </c>
      <c r="O166" s="213">
        <f t="shared" si="89"/>
        <v>2.2</v>
      </c>
      <c r="P166" s="27">
        <f t="shared" si="86"/>
        <v>0.22</v>
      </c>
      <c r="Q166" s="27">
        <f t="shared" si="90"/>
        <v>0.11</v>
      </c>
    </row>
    <row r="167" ht="30.0" customHeight="1">
      <c r="A167" s="250" t="s">
        <v>255</v>
      </c>
      <c r="B167" s="250" t="s">
        <v>215</v>
      </c>
      <c r="C167" s="251">
        <v>59.0</v>
      </c>
      <c r="D167" s="165">
        <v>12.0</v>
      </c>
      <c r="E167" s="167">
        <f t="shared" si="91"/>
        <v>4.916666667</v>
      </c>
      <c r="F167" s="252">
        <v>0.16</v>
      </c>
      <c r="G167" s="253">
        <f t="shared" si="74"/>
        <v>0.7866666667</v>
      </c>
      <c r="H167" s="254">
        <v>0.15</v>
      </c>
      <c r="I167" s="169">
        <f t="shared" si="75"/>
        <v>0.7375</v>
      </c>
      <c r="J167" s="166">
        <v>5.0</v>
      </c>
      <c r="K167" s="166">
        <v>1.6</v>
      </c>
      <c r="L167" s="168">
        <v>0.0</v>
      </c>
      <c r="M167" s="169">
        <f t="shared" si="76"/>
        <v>8.124166667</v>
      </c>
      <c r="N167" s="256">
        <v>1.0</v>
      </c>
      <c r="O167" s="213">
        <f t="shared" si="89"/>
        <v>16.24833333</v>
      </c>
      <c r="P167" s="27">
        <f t="shared" si="86"/>
        <v>0.2753954802</v>
      </c>
      <c r="Q167" s="27">
        <f t="shared" si="90"/>
        <v>0.1376977401</v>
      </c>
    </row>
    <row r="168" ht="30.0" customHeight="1">
      <c r="A168" s="250" t="s">
        <v>255</v>
      </c>
      <c r="B168" s="250" t="s">
        <v>215</v>
      </c>
      <c r="C168" s="251">
        <v>5000.0</v>
      </c>
      <c r="D168" s="165">
        <v>8.0</v>
      </c>
      <c r="E168" s="167">
        <f t="shared" si="91"/>
        <v>625</v>
      </c>
      <c r="F168" s="252">
        <v>0.09</v>
      </c>
      <c r="G168" s="253">
        <f t="shared" si="74"/>
        <v>56.25</v>
      </c>
      <c r="H168" s="254">
        <v>0.15</v>
      </c>
      <c r="I168" s="169">
        <f t="shared" si="75"/>
        <v>93.75</v>
      </c>
      <c r="J168" s="166">
        <v>20.0</v>
      </c>
      <c r="K168" s="166">
        <v>0.0</v>
      </c>
      <c r="L168" s="168">
        <v>0.0</v>
      </c>
      <c r="M168" s="169">
        <f t="shared" si="76"/>
        <v>170</v>
      </c>
      <c r="N168" s="256">
        <v>1.5</v>
      </c>
      <c r="O168" s="213">
        <f t="shared" si="89"/>
        <v>425</v>
      </c>
      <c r="P168" s="27">
        <f t="shared" si="86"/>
        <v>0.085</v>
      </c>
      <c r="Q168" s="27">
        <f t="shared" si="90"/>
        <v>0.034</v>
      </c>
    </row>
    <row r="169" ht="30.0" customHeight="1">
      <c r="A169" s="250" t="s">
        <v>256</v>
      </c>
      <c r="B169" s="250" t="s">
        <v>257</v>
      </c>
      <c r="C169" s="251">
        <v>100.0</v>
      </c>
      <c r="D169" s="165">
        <v>2.0</v>
      </c>
      <c r="E169" s="167">
        <f t="shared" si="91"/>
        <v>50</v>
      </c>
      <c r="F169" s="252">
        <v>0.09</v>
      </c>
      <c r="G169" s="253">
        <f t="shared" si="74"/>
        <v>4.5</v>
      </c>
      <c r="H169" s="254">
        <v>0.03</v>
      </c>
      <c r="I169" s="169">
        <f t="shared" si="75"/>
        <v>1.5</v>
      </c>
      <c r="J169" s="166">
        <v>5.0</v>
      </c>
      <c r="K169" s="166">
        <v>0.0</v>
      </c>
      <c r="L169" s="168">
        <v>0.0</v>
      </c>
      <c r="M169" s="169">
        <f t="shared" si="76"/>
        <v>11</v>
      </c>
      <c r="N169" s="256">
        <v>2.0</v>
      </c>
      <c r="O169" s="213">
        <f t="shared" si="89"/>
        <v>33</v>
      </c>
      <c r="P169" s="27">
        <f t="shared" si="86"/>
        <v>0.33</v>
      </c>
      <c r="Q169" s="27">
        <f t="shared" si="90"/>
        <v>0.11</v>
      </c>
    </row>
    <row r="170" ht="11.25" customHeight="1">
      <c r="A170" s="257"/>
      <c r="B170" s="257"/>
      <c r="C170" s="258"/>
      <c r="D170" s="259"/>
      <c r="E170" s="260"/>
      <c r="F170" s="261"/>
      <c r="G170" s="262"/>
      <c r="H170" s="263"/>
      <c r="I170" s="264"/>
      <c r="J170" s="261"/>
      <c r="K170" s="261"/>
      <c r="L170" s="262"/>
      <c r="M170" s="264"/>
      <c r="N170" s="265"/>
      <c r="O170" s="267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  <c r="AA170" s="235"/>
      <c r="AB170" s="235"/>
      <c r="AC170" s="235"/>
      <c r="AD170" s="235"/>
      <c r="AE170" s="235"/>
    </row>
    <row r="171" ht="30.0" customHeight="1">
      <c r="A171" s="250" t="s">
        <v>258</v>
      </c>
      <c r="B171" s="250" t="s">
        <v>259</v>
      </c>
      <c r="C171" s="251">
        <v>90.0</v>
      </c>
      <c r="D171" s="165">
        <v>1.0</v>
      </c>
      <c r="E171" s="167">
        <f t="shared" ref="E171:E172" si="92">SUM(C171/D171)</f>
        <v>90</v>
      </c>
      <c r="F171" s="252">
        <v>0.16</v>
      </c>
      <c r="G171" s="253">
        <f t="shared" ref="G171:G172" si="93">SUM(F171*E171)</f>
        <v>14.4</v>
      </c>
      <c r="H171" s="254">
        <v>0.44</v>
      </c>
      <c r="I171" s="169">
        <f t="shared" ref="I171:I172" si="94">SUM(E171*H171)</f>
        <v>39.6</v>
      </c>
      <c r="J171" s="166">
        <v>15.0</v>
      </c>
      <c r="K171" s="166">
        <v>28.8</v>
      </c>
      <c r="L171" s="166">
        <v>43.0</v>
      </c>
      <c r="M171" s="169">
        <f t="shared" ref="M171:M172" si="95">SUM(G171+I171+J171+K171+L171)</f>
        <v>140.8</v>
      </c>
      <c r="N171" s="256">
        <v>2.0</v>
      </c>
      <c r="O171" s="213">
        <f t="shared" ref="O171:O172" si="96">SUM((M171*N171)+M171)</f>
        <v>422.4</v>
      </c>
      <c r="P171" s="27">
        <f t="shared" ref="P171:P172" si="97">O171/C171</f>
        <v>4.693333333</v>
      </c>
      <c r="Q171" s="27">
        <f t="shared" ref="Q171:Q172" si="98">M171/C171</f>
        <v>1.564444444</v>
      </c>
    </row>
    <row r="172" ht="30.0" customHeight="1">
      <c r="A172" s="250" t="s">
        <v>258</v>
      </c>
      <c r="B172" s="250" t="s">
        <v>260</v>
      </c>
      <c r="C172" s="251">
        <v>20.0</v>
      </c>
      <c r="D172" s="165">
        <v>2.0</v>
      </c>
      <c r="E172" s="167">
        <f t="shared" si="92"/>
        <v>10</v>
      </c>
      <c r="F172" s="252">
        <v>0.16</v>
      </c>
      <c r="G172" s="253">
        <f t="shared" si="93"/>
        <v>1.6</v>
      </c>
      <c r="H172" s="254">
        <v>0.44</v>
      </c>
      <c r="I172" s="169">
        <f t="shared" si="94"/>
        <v>4.4</v>
      </c>
      <c r="J172" s="166">
        <v>10.0</v>
      </c>
      <c r="K172" s="166">
        <v>6.4</v>
      </c>
      <c r="L172" s="168">
        <v>0.0</v>
      </c>
      <c r="M172" s="169">
        <f t="shared" si="95"/>
        <v>22.4</v>
      </c>
      <c r="N172" s="256">
        <v>2.0</v>
      </c>
      <c r="O172" s="213">
        <f t="shared" si="96"/>
        <v>67.2</v>
      </c>
      <c r="P172" s="27">
        <f t="shared" si="97"/>
        <v>3.36</v>
      </c>
      <c r="Q172" s="27">
        <f t="shared" si="98"/>
        <v>1.12</v>
      </c>
    </row>
    <row r="173" ht="11.25" customHeight="1">
      <c r="A173" s="257"/>
      <c r="B173" s="257"/>
      <c r="C173" s="258"/>
      <c r="D173" s="259"/>
      <c r="E173" s="260"/>
      <c r="F173" s="261"/>
      <c r="G173" s="262"/>
      <c r="H173" s="263"/>
      <c r="I173" s="264"/>
      <c r="J173" s="261"/>
      <c r="K173" s="261"/>
      <c r="L173" s="262"/>
      <c r="M173" s="264"/>
      <c r="N173" s="265"/>
      <c r="O173" s="267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  <c r="AA173" s="235"/>
      <c r="AB173" s="235"/>
      <c r="AC173" s="235"/>
      <c r="AD173" s="235"/>
      <c r="AE173" s="235"/>
    </row>
    <row r="174" ht="30.0" customHeight="1">
      <c r="A174" s="250" t="s">
        <v>261</v>
      </c>
      <c r="B174" s="250" t="s">
        <v>262</v>
      </c>
      <c r="C174" s="251">
        <v>20.0</v>
      </c>
      <c r="D174" s="165">
        <v>1.0</v>
      </c>
      <c r="E174" s="167">
        <f t="shared" ref="E174:E175" si="99">SUM(C174/D174)</f>
        <v>20</v>
      </c>
      <c r="F174" s="252">
        <v>0.09</v>
      </c>
      <c r="G174" s="253">
        <f t="shared" ref="G174:G175" si="100">SUM(F174*E174)</f>
        <v>1.8</v>
      </c>
      <c r="H174" s="254">
        <v>0.44</v>
      </c>
      <c r="I174" s="169">
        <f t="shared" ref="I174:I175" si="101">SUM(E174*H174)</f>
        <v>8.8</v>
      </c>
      <c r="J174" s="166">
        <v>5.0</v>
      </c>
      <c r="K174" s="166">
        <v>0.0</v>
      </c>
      <c r="L174" s="166">
        <v>0.0</v>
      </c>
      <c r="M174" s="169">
        <f t="shared" ref="M174:M175" si="102">SUM(G174+I174+J174+K174+L174)</f>
        <v>15.6</v>
      </c>
      <c r="N174" s="256">
        <v>1.5</v>
      </c>
      <c r="O174" s="213">
        <f t="shared" ref="O174:O175" si="103">SUM((M174*N174)+M174)</f>
        <v>39</v>
      </c>
      <c r="P174" s="27">
        <f t="shared" ref="P174:P175" si="104">O174/C174</f>
        <v>1.95</v>
      </c>
      <c r="Q174" s="27">
        <f t="shared" ref="Q174:Q175" si="105">M174/C174</f>
        <v>0.78</v>
      </c>
    </row>
    <row r="175" ht="30.0" customHeight="1">
      <c r="A175" s="250" t="s">
        <v>261</v>
      </c>
      <c r="B175" s="250" t="s">
        <v>260</v>
      </c>
      <c r="C175" s="251">
        <v>200.0</v>
      </c>
      <c r="D175" s="165">
        <v>2.0</v>
      </c>
      <c r="E175" s="167">
        <f t="shared" si="99"/>
        <v>100</v>
      </c>
      <c r="F175" s="252">
        <v>0.16</v>
      </c>
      <c r="G175" s="253">
        <f t="shared" si="100"/>
        <v>16</v>
      </c>
      <c r="H175" s="254">
        <v>0.44</v>
      </c>
      <c r="I175" s="169">
        <f t="shared" si="101"/>
        <v>44</v>
      </c>
      <c r="J175" s="166">
        <v>10.0</v>
      </c>
      <c r="K175" s="166">
        <v>0.0</v>
      </c>
      <c r="L175" s="166">
        <v>65.0</v>
      </c>
      <c r="M175" s="169">
        <f t="shared" si="102"/>
        <v>135</v>
      </c>
      <c r="N175" s="256">
        <v>2.0</v>
      </c>
      <c r="O175" s="213">
        <f t="shared" si="103"/>
        <v>405</v>
      </c>
      <c r="P175" s="27">
        <f t="shared" si="104"/>
        <v>2.025</v>
      </c>
      <c r="Q175" s="27">
        <f t="shared" si="105"/>
        <v>0.675</v>
      </c>
    </row>
    <row r="176" ht="11.25" customHeight="1">
      <c r="A176" s="257"/>
      <c r="B176" s="257"/>
      <c r="C176" s="258"/>
      <c r="D176" s="259"/>
      <c r="E176" s="260"/>
      <c r="F176" s="261"/>
      <c r="G176" s="262"/>
      <c r="H176" s="263"/>
      <c r="I176" s="264"/>
      <c r="J176" s="261"/>
      <c r="K176" s="261"/>
      <c r="L176" s="262"/>
      <c r="M176" s="264"/>
      <c r="N176" s="265"/>
      <c r="O176" s="267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  <c r="AA176" s="235"/>
      <c r="AB176" s="235"/>
      <c r="AC176" s="235"/>
      <c r="AD176" s="235"/>
      <c r="AE176" s="235"/>
    </row>
    <row r="177" ht="30.0" customHeight="1">
      <c r="A177" s="250" t="s">
        <v>263</v>
      </c>
      <c r="B177" s="250" t="s">
        <v>264</v>
      </c>
      <c r="C177" s="251">
        <v>50.0</v>
      </c>
      <c r="D177" s="165">
        <v>2.0</v>
      </c>
      <c r="E177" s="167">
        <f t="shared" ref="E177:E178" si="106">SUM(C177/D177)</f>
        <v>25</v>
      </c>
      <c r="F177" s="252">
        <v>0.09</v>
      </c>
      <c r="G177" s="253">
        <f t="shared" ref="G177:G178" si="107">SUM(F177*E177)</f>
        <v>2.25</v>
      </c>
      <c r="H177" s="254">
        <v>0.04</v>
      </c>
      <c r="I177" s="169">
        <f t="shared" ref="I177:I178" si="108">SUM(E177*H177)</f>
        <v>1</v>
      </c>
      <c r="J177" s="166">
        <v>5.0</v>
      </c>
      <c r="K177" s="166">
        <v>0.0</v>
      </c>
      <c r="L177" s="166">
        <v>0.0</v>
      </c>
      <c r="M177" s="169">
        <f t="shared" ref="M177:M178" si="109">SUM(G177+I177+J177+K177+L177)</f>
        <v>8.25</v>
      </c>
      <c r="N177" s="256">
        <v>3.0</v>
      </c>
      <c r="O177" s="213">
        <f t="shared" ref="O177:O178" si="110">SUM((M177*N177)+M177)</f>
        <v>33</v>
      </c>
      <c r="P177" s="27">
        <f t="shared" ref="P177:P178" si="111">O177/C177</f>
        <v>0.66</v>
      </c>
      <c r="Q177" s="27">
        <f t="shared" ref="Q177:Q178" si="112">M177/C177</f>
        <v>0.165</v>
      </c>
    </row>
    <row r="178" ht="30.0" customHeight="1">
      <c r="A178" s="250" t="s">
        <v>263</v>
      </c>
      <c r="B178" s="250" t="s">
        <v>264</v>
      </c>
      <c r="C178" s="251">
        <v>100.0</v>
      </c>
      <c r="D178" s="165">
        <v>2.0</v>
      </c>
      <c r="E178" s="167">
        <f t="shared" si="106"/>
        <v>50</v>
      </c>
      <c r="F178" s="252">
        <v>0.09</v>
      </c>
      <c r="G178" s="253">
        <f t="shared" si="107"/>
        <v>4.5</v>
      </c>
      <c r="H178" s="254">
        <v>0.04</v>
      </c>
      <c r="I178" s="169">
        <f t="shared" si="108"/>
        <v>2</v>
      </c>
      <c r="J178" s="166">
        <v>5.0</v>
      </c>
      <c r="K178" s="166">
        <v>0.0</v>
      </c>
      <c r="L178" s="166">
        <v>0.0</v>
      </c>
      <c r="M178" s="169">
        <f t="shared" si="109"/>
        <v>11.5</v>
      </c>
      <c r="N178" s="256">
        <v>3.0</v>
      </c>
      <c r="O178" s="213">
        <f t="shared" si="110"/>
        <v>46</v>
      </c>
      <c r="P178" s="27">
        <f t="shared" si="111"/>
        <v>0.46</v>
      </c>
      <c r="Q178" s="27">
        <f t="shared" si="112"/>
        <v>0.115</v>
      </c>
    </row>
    <row r="179" ht="11.25" customHeight="1">
      <c r="A179" s="257"/>
      <c r="B179" s="257"/>
      <c r="C179" s="258"/>
      <c r="D179" s="259"/>
      <c r="E179" s="260"/>
      <c r="F179" s="261"/>
      <c r="G179" s="262"/>
      <c r="H179" s="263"/>
      <c r="I179" s="264"/>
      <c r="J179" s="261"/>
      <c r="K179" s="261"/>
      <c r="L179" s="262"/>
      <c r="M179" s="264"/>
      <c r="N179" s="265"/>
      <c r="O179" s="267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  <c r="AD179" s="235"/>
      <c r="AE179" s="235"/>
    </row>
    <row r="180" ht="30.0" customHeight="1">
      <c r="A180" s="250" t="s">
        <v>258</v>
      </c>
      <c r="B180" s="250" t="s">
        <v>265</v>
      </c>
      <c r="C180" s="251">
        <v>200.0</v>
      </c>
      <c r="D180" s="165">
        <v>4.0</v>
      </c>
      <c r="E180" s="167">
        <f t="shared" ref="E180:E183" si="113">SUM(C180/D180)</f>
        <v>50</v>
      </c>
      <c r="F180" s="252">
        <v>0.16</v>
      </c>
      <c r="G180" s="253">
        <f t="shared" ref="G180:G183" si="114">SUM(F180*E180)</f>
        <v>8</v>
      </c>
      <c r="H180" s="254">
        <v>0.06</v>
      </c>
      <c r="I180" s="169">
        <f t="shared" ref="I180:I183" si="115">SUM(E180*H180)</f>
        <v>3</v>
      </c>
      <c r="J180" s="166">
        <v>10.0</v>
      </c>
      <c r="K180" s="166">
        <v>0.0</v>
      </c>
      <c r="L180" s="166">
        <v>43.0</v>
      </c>
      <c r="M180" s="169">
        <f t="shared" ref="M180:M183" si="116">SUM(G180+I180+J180+K180+L180)</f>
        <v>64</v>
      </c>
      <c r="N180" s="256">
        <v>1.5</v>
      </c>
      <c r="O180" s="213">
        <f t="shared" ref="O180:O183" si="117">M180*(1+N180)</f>
        <v>160</v>
      </c>
      <c r="P180" s="27">
        <f t="shared" ref="P180:P183" si="118">O180/C180</f>
        <v>0.8</v>
      </c>
      <c r="Q180" s="27">
        <f t="shared" ref="Q180:Q183" si="119">M180/C180</f>
        <v>0.32</v>
      </c>
    </row>
    <row r="181" ht="30.0" customHeight="1">
      <c r="A181" s="250" t="s">
        <v>258</v>
      </c>
      <c r="B181" s="250" t="s">
        <v>265</v>
      </c>
      <c r="C181" s="251">
        <v>500.0</v>
      </c>
      <c r="D181" s="165">
        <v>4.0</v>
      </c>
      <c r="E181" s="167">
        <f t="shared" si="113"/>
        <v>125</v>
      </c>
      <c r="F181" s="252">
        <v>0.16</v>
      </c>
      <c r="G181" s="253">
        <f t="shared" si="114"/>
        <v>20</v>
      </c>
      <c r="H181" s="254">
        <v>0.06</v>
      </c>
      <c r="I181" s="169">
        <f t="shared" si="115"/>
        <v>7.5</v>
      </c>
      <c r="J181" s="166">
        <v>10.0</v>
      </c>
      <c r="K181" s="166">
        <v>0.0</v>
      </c>
      <c r="L181" s="166">
        <v>43.0</v>
      </c>
      <c r="M181" s="169">
        <f t="shared" si="116"/>
        <v>80.5</v>
      </c>
      <c r="N181" s="256">
        <v>1.5</v>
      </c>
      <c r="O181" s="213">
        <f t="shared" si="117"/>
        <v>201.25</v>
      </c>
      <c r="P181" s="27">
        <f t="shared" si="118"/>
        <v>0.4025</v>
      </c>
      <c r="Q181" s="27">
        <f t="shared" si="119"/>
        <v>0.161</v>
      </c>
    </row>
    <row r="182" ht="30.0" customHeight="1">
      <c r="A182" s="250" t="s">
        <v>258</v>
      </c>
      <c r="B182" s="250" t="s">
        <v>265</v>
      </c>
      <c r="C182" s="251">
        <v>750.0</v>
      </c>
      <c r="D182" s="165">
        <v>4.0</v>
      </c>
      <c r="E182" s="167">
        <f t="shared" si="113"/>
        <v>187.5</v>
      </c>
      <c r="F182" s="252">
        <v>0.16</v>
      </c>
      <c r="G182" s="253">
        <f t="shared" si="114"/>
        <v>30</v>
      </c>
      <c r="H182" s="254">
        <v>0.06</v>
      </c>
      <c r="I182" s="169">
        <f t="shared" si="115"/>
        <v>11.25</v>
      </c>
      <c r="J182" s="166">
        <v>15.0</v>
      </c>
      <c r="K182" s="166">
        <v>0.0</v>
      </c>
      <c r="L182" s="166">
        <v>43.0</v>
      </c>
      <c r="M182" s="169">
        <f t="shared" si="116"/>
        <v>99.25</v>
      </c>
      <c r="N182" s="256">
        <v>1.5</v>
      </c>
      <c r="O182" s="213">
        <f t="shared" si="117"/>
        <v>248.125</v>
      </c>
      <c r="P182" s="27">
        <f t="shared" si="118"/>
        <v>0.3308333333</v>
      </c>
      <c r="Q182" s="27">
        <f t="shared" si="119"/>
        <v>0.1323333333</v>
      </c>
    </row>
    <row r="183" ht="30.0" customHeight="1">
      <c r="A183" s="250" t="s">
        <v>258</v>
      </c>
      <c r="B183" s="250" t="s">
        <v>265</v>
      </c>
      <c r="C183" s="251">
        <v>1000.0</v>
      </c>
      <c r="D183" s="165">
        <v>4.0</v>
      </c>
      <c r="E183" s="167">
        <f t="shared" si="113"/>
        <v>250</v>
      </c>
      <c r="F183" s="252">
        <v>0.16</v>
      </c>
      <c r="G183" s="253">
        <f t="shared" si="114"/>
        <v>40</v>
      </c>
      <c r="H183" s="254">
        <v>0.06</v>
      </c>
      <c r="I183" s="169">
        <f t="shared" si="115"/>
        <v>15</v>
      </c>
      <c r="J183" s="166">
        <v>15.0</v>
      </c>
      <c r="K183" s="166">
        <v>0.0</v>
      </c>
      <c r="L183" s="166">
        <v>43.0</v>
      </c>
      <c r="M183" s="169">
        <f t="shared" si="116"/>
        <v>113</v>
      </c>
      <c r="N183" s="256">
        <v>1.5</v>
      </c>
      <c r="O183" s="213">
        <f t="shared" si="117"/>
        <v>282.5</v>
      </c>
      <c r="P183" s="27">
        <f t="shared" si="118"/>
        <v>0.2825</v>
      </c>
      <c r="Q183" s="27">
        <f t="shared" si="119"/>
        <v>0.113</v>
      </c>
    </row>
    <row r="184" ht="11.25" customHeight="1">
      <c r="A184" s="257"/>
      <c r="B184" s="257"/>
      <c r="C184" s="258"/>
      <c r="D184" s="259"/>
      <c r="E184" s="260"/>
      <c r="F184" s="261"/>
      <c r="G184" s="262"/>
      <c r="H184" s="263"/>
      <c r="I184" s="264"/>
      <c r="J184" s="261"/>
      <c r="K184" s="261"/>
      <c r="L184" s="262"/>
      <c r="M184" s="264"/>
      <c r="N184" s="265"/>
      <c r="O184" s="267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  <c r="AA184" s="235"/>
      <c r="AB184" s="235"/>
      <c r="AC184" s="235"/>
      <c r="AD184" s="235"/>
      <c r="AE184" s="235"/>
    </row>
    <row r="185" ht="30.0" customHeight="1">
      <c r="A185" s="250" t="s">
        <v>266</v>
      </c>
      <c r="B185" s="250" t="s">
        <v>267</v>
      </c>
      <c r="C185" s="251">
        <v>500.0</v>
      </c>
      <c r="D185" s="165">
        <v>21.0</v>
      </c>
      <c r="E185" s="167">
        <f>SUM(C185/D185)</f>
        <v>23.80952381</v>
      </c>
      <c r="F185" s="252">
        <v>0.24</v>
      </c>
      <c r="G185" s="253">
        <f>SUM(F185*E185)</f>
        <v>5.714285714</v>
      </c>
      <c r="H185" s="254">
        <v>0.15</v>
      </c>
      <c r="I185" s="169">
        <f>SUM(E185*H185)</f>
        <v>3.571428571</v>
      </c>
      <c r="J185" s="166">
        <v>10.0</v>
      </c>
      <c r="K185" s="166">
        <v>7.68</v>
      </c>
      <c r="L185" s="168">
        <v>0.0</v>
      </c>
      <c r="M185" s="169">
        <f>SUM(G185+I185+J185+K185+L185)</f>
        <v>26.96571429</v>
      </c>
      <c r="N185" s="256">
        <v>2.0</v>
      </c>
      <c r="O185" s="213">
        <f>SUM((M185*N185)+M185)</f>
        <v>80.89714286</v>
      </c>
      <c r="P185" s="27">
        <f>O185/C185</f>
        <v>0.1617942857</v>
      </c>
    </row>
    <row r="186">
      <c r="E186" s="73"/>
      <c r="F186" s="285"/>
      <c r="G186" s="73"/>
      <c r="H186" s="286"/>
      <c r="I186" s="27"/>
      <c r="N186" s="5"/>
      <c r="O186" s="183"/>
    </row>
    <row r="187">
      <c r="E187" s="73"/>
      <c r="F187" s="285"/>
      <c r="G187" s="73"/>
      <c r="H187" s="286"/>
      <c r="I187" s="27"/>
      <c r="N187" s="5"/>
      <c r="O187" s="183"/>
    </row>
    <row r="188">
      <c r="E188" s="73"/>
      <c r="F188" s="285"/>
      <c r="G188" s="73"/>
      <c r="H188" s="286"/>
      <c r="I188" s="27"/>
      <c r="N188" s="5"/>
      <c r="O188" s="183"/>
    </row>
    <row r="189">
      <c r="E189" s="73"/>
      <c r="F189" s="285"/>
      <c r="G189" s="73"/>
      <c r="H189" s="286"/>
      <c r="I189" s="27"/>
      <c r="N189" s="5"/>
      <c r="O189" s="183"/>
    </row>
    <row r="190">
      <c r="E190" s="73"/>
      <c r="F190" s="285"/>
      <c r="G190" s="73"/>
      <c r="H190" s="286"/>
      <c r="I190" s="27"/>
      <c r="N190" s="5"/>
      <c r="O190" s="183"/>
    </row>
    <row r="191">
      <c r="E191" s="73"/>
      <c r="F191" s="285"/>
      <c r="G191" s="73"/>
      <c r="H191" s="286"/>
      <c r="I191" s="27"/>
      <c r="N191" s="5"/>
      <c r="O191" s="183"/>
    </row>
    <row r="192">
      <c r="E192" s="73"/>
      <c r="F192" s="285"/>
      <c r="G192" s="73"/>
      <c r="H192" s="286"/>
      <c r="I192" s="27"/>
      <c r="N192" s="5"/>
      <c r="O192" s="183"/>
    </row>
    <row r="193">
      <c r="E193" s="73"/>
      <c r="F193" s="285"/>
      <c r="G193" s="73"/>
      <c r="H193" s="286"/>
      <c r="I193" s="27"/>
      <c r="N193" s="5"/>
      <c r="O193" s="183"/>
    </row>
    <row r="194">
      <c r="E194" s="73"/>
      <c r="F194" s="285"/>
      <c r="G194" s="73"/>
      <c r="H194" s="286"/>
      <c r="I194" s="27"/>
      <c r="N194" s="5"/>
      <c r="O194" s="183"/>
    </row>
    <row r="195">
      <c r="E195" s="73"/>
      <c r="F195" s="285"/>
      <c r="G195" s="73"/>
      <c r="H195" s="286"/>
      <c r="I195" s="27"/>
      <c r="N195" s="5"/>
      <c r="O195" s="183"/>
    </row>
    <row r="196">
      <c r="E196" s="73"/>
      <c r="F196" s="285"/>
      <c r="G196" s="73"/>
      <c r="H196" s="286"/>
      <c r="I196" s="27"/>
      <c r="N196" s="5"/>
      <c r="O196" s="183"/>
    </row>
    <row r="197">
      <c r="E197" s="73"/>
      <c r="F197" s="285"/>
      <c r="G197" s="73"/>
      <c r="H197" s="286"/>
      <c r="I197" s="27"/>
      <c r="N197" s="5"/>
      <c r="O197" s="183"/>
    </row>
    <row r="198">
      <c r="E198" s="73"/>
      <c r="F198" s="285"/>
      <c r="G198" s="73"/>
      <c r="H198" s="286"/>
      <c r="I198" s="27"/>
      <c r="N198" s="5"/>
      <c r="O198" s="183"/>
    </row>
    <row r="199">
      <c r="E199" s="73"/>
      <c r="F199" s="285"/>
      <c r="G199" s="73"/>
      <c r="H199" s="286"/>
      <c r="I199" s="27"/>
      <c r="N199" s="5"/>
      <c r="O199" s="183"/>
    </row>
    <row r="200">
      <c r="E200" s="73"/>
      <c r="F200" s="285"/>
      <c r="G200" s="73"/>
      <c r="H200" s="286"/>
      <c r="I200" s="27"/>
      <c r="N200" s="5"/>
      <c r="O200" s="183"/>
    </row>
    <row r="201">
      <c r="E201" s="73"/>
      <c r="F201" s="285"/>
      <c r="G201" s="73"/>
      <c r="H201" s="286"/>
      <c r="I201" s="27"/>
      <c r="N201" s="5"/>
      <c r="O201" s="183"/>
    </row>
    <row r="202">
      <c r="E202" s="73"/>
      <c r="F202" s="285"/>
      <c r="G202" s="73"/>
      <c r="H202" s="286"/>
      <c r="I202" s="27"/>
      <c r="N202" s="5"/>
      <c r="O202" s="183"/>
    </row>
    <row r="203">
      <c r="E203" s="73"/>
      <c r="F203" s="285"/>
      <c r="G203" s="73"/>
      <c r="H203" s="286"/>
      <c r="I203" s="27"/>
      <c r="N203" s="5"/>
      <c r="O203" s="183"/>
    </row>
    <row r="204">
      <c r="E204" s="73"/>
      <c r="F204" s="285"/>
      <c r="G204" s="73"/>
      <c r="H204" s="286"/>
      <c r="I204" s="27"/>
      <c r="N204" s="5"/>
      <c r="O204" s="183"/>
    </row>
    <row r="205">
      <c r="E205" s="73"/>
      <c r="F205" s="285"/>
      <c r="G205" s="73"/>
      <c r="H205" s="286"/>
      <c r="I205" s="27"/>
      <c r="N205" s="5"/>
      <c r="O205" s="183"/>
    </row>
    <row r="206">
      <c r="E206" s="73"/>
      <c r="F206" s="285"/>
      <c r="G206" s="73"/>
      <c r="H206" s="286"/>
      <c r="I206" s="27"/>
      <c r="N206" s="5"/>
      <c r="O206" s="183"/>
    </row>
    <row r="207">
      <c r="E207" s="73"/>
      <c r="F207" s="285"/>
      <c r="G207" s="73"/>
      <c r="H207" s="286"/>
      <c r="I207" s="27"/>
      <c r="N207" s="5"/>
      <c r="O207" s="183"/>
    </row>
    <row r="208">
      <c r="E208" s="73"/>
      <c r="F208" s="285"/>
      <c r="G208" s="73"/>
      <c r="H208" s="286"/>
      <c r="I208" s="27"/>
      <c r="N208" s="5"/>
      <c r="O208" s="183"/>
    </row>
    <row r="209">
      <c r="E209" s="73"/>
      <c r="F209" s="285"/>
      <c r="G209" s="73"/>
      <c r="H209" s="286"/>
      <c r="I209" s="27"/>
      <c r="N209" s="5"/>
      <c r="O209" s="183"/>
    </row>
    <row r="210">
      <c r="E210" s="73"/>
      <c r="F210" s="285"/>
      <c r="G210" s="73"/>
      <c r="H210" s="286"/>
      <c r="I210" s="27"/>
      <c r="N210" s="5"/>
      <c r="O210" s="183"/>
    </row>
    <row r="211">
      <c r="E211" s="73"/>
      <c r="F211" s="285"/>
      <c r="G211" s="73"/>
      <c r="H211" s="286"/>
      <c r="I211" s="27"/>
      <c r="N211" s="5"/>
      <c r="O211" s="183"/>
    </row>
    <row r="212">
      <c r="E212" s="73"/>
      <c r="F212" s="285"/>
      <c r="G212" s="73"/>
      <c r="H212" s="286"/>
      <c r="I212" s="27"/>
      <c r="N212" s="5"/>
      <c r="O212" s="183"/>
    </row>
    <row r="213">
      <c r="E213" s="73"/>
      <c r="F213" s="285"/>
      <c r="G213" s="73"/>
      <c r="H213" s="286"/>
      <c r="I213" s="27"/>
      <c r="N213" s="5"/>
      <c r="O213" s="183"/>
    </row>
    <row r="214">
      <c r="E214" s="73"/>
      <c r="F214" s="285"/>
      <c r="G214" s="73"/>
      <c r="H214" s="286"/>
      <c r="I214" s="27"/>
      <c r="N214" s="5"/>
      <c r="O214" s="183"/>
    </row>
    <row r="215">
      <c r="E215" s="73"/>
      <c r="F215" s="285"/>
      <c r="G215" s="73"/>
      <c r="H215" s="286"/>
      <c r="I215" s="27"/>
      <c r="N215" s="5"/>
      <c r="O215" s="183"/>
    </row>
    <row r="216">
      <c r="E216" s="73"/>
      <c r="F216" s="285"/>
      <c r="G216" s="73"/>
      <c r="H216" s="286"/>
      <c r="I216" s="27"/>
      <c r="N216" s="5"/>
      <c r="O216" s="183"/>
    </row>
    <row r="217">
      <c r="E217" s="73"/>
      <c r="F217" s="285"/>
      <c r="G217" s="73"/>
      <c r="H217" s="286"/>
      <c r="I217" s="27"/>
      <c r="N217" s="5"/>
      <c r="O217" s="183"/>
    </row>
    <row r="218">
      <c r="E218" s="73"/>
      <c r="F218" s="285"/>
      <c r="G218" s="73"/>
      <c r="H218" s="286"/>
      <c r="I218" s="27"/>
      <c r="N218" s="5"/>
      <c r="O218" s="183"/>
    </row>
    <row r="219">
      <c r="E219" s="73"/>
      <c r="F219" s="285"/>
      <c r="G219" s="73"/>
      <c r="H219" s="286"/>
      <c r="I219" s="27"/>
      <c r="N219" s="5"/>
      <c r="O219" s="183"/>
    </row>
    <row r="220">
      <c r="E220" s="73"/>
      <c r="F220" s="285"/>
      <c r="G220" s="73"/>
      <c r="H220" s="286"/>
      <c r="I220" s="27"/>
      <c r="N220" s="5"/>
      <c r="O220" s="183"/>
    </row>
    <row r="221">
      <c r="E221" s="73"/>
      <c r="F221" s="285"/>
      <c r="G221" s="73"/>
      <c r="H221" s="286"/>
      <c r="I221" s="27"/>
      <c r="N221" s="5"/>
      <c r="O221" s="183"/>
    </row>
    <row r="222">
      <c r="E222" s="73"/>
      <c r="F222" s="285"/>
      <c r="G222" s="73"/>
      <c r="H222" s="286"/>
      <c r="I222" s="27"/>
      <c r="N222" s="5"/>
      <c r="O222" s="183"/>
    </row>
    <row r="223">
      <c r="E223" s="73"/>
      <c r="F223" s="285"/>
      <c r="G223" s="73"/>
      <c r="H223" s="286"/>
      <c r="I223" s="27"/>
      <c r="N223" s="5"/>
      <c r="O223" s="183"/>
    </row>
    <row r="224">
      <c r="E224" s="73"/>
      <c r="F224" s="285"/>
      <c r="G224" s="73"/>
      <c r="H224" s="286"/>
      <c r="I224" s="27"/>
      <c r="N224" s="5"/>
      <c r="O224" s="183"/>
    </row>
    <row r="225">
      <c r="E225" s="73"/>
      <c r="F225" s="285"/>
      <c r="G225" s="73"/>
      <c r="H225" s="286"/>
      <c r="I225" s="27"/>
      <c r="N225" s="5"/>
      <c r="O225" s="183"/>
    </row>
    <row r="226">
      <c r="E226" s="73"/>
      <c r="F226" s="285"/>
      <c r="G226" s="73"/>
      <c r="H226" s="286"/>
      <c r="I226" s="27"/>
      <c r="N226" s="5"/>
      <c r="O226" s="183"/>
    </row>
    <row r="227">
      <c r="E227" s="73"/>
      <c r="F227" s="285"/>
      <c r="G227" s="73"/>
      <c r="H227" s="286"/>
      <c r="I227" s="27"/>
      <c r="N227" s="5"/>
      <c r="O227" s="183"/>
    </row>
    <row r="228">
      <c r="E228" s="73"/>
      <c r="F228" s="285"/>
      <c r="G228" s="73"/>
      <c r="H228" s="286"/>
      <c r="I228" s="27"/>
      <c r="N228" s="5"/>
      <c r="O228" s="183"/>
    </row>
    <row r="229">
      <c r="E229" s="73"/>
      <c r="F229" s="285"/>
      <c r="G229" s="73"/>
      <c r="H229" s="286"/>
      <c r="I229" s="27"/>
      <c r="N229" s="5"/>
      <c r="O229" s="183"/>
    </row>
    <row r="230">
      <c r="E230" s="73"/>
      <c r="F230" s="285"/>
      <c r="G230" s="73"/>
      <c r="H230" s="286"/>
      <c r="I230" s="27"/>
      <c r="N230" s="5"/>
      <c r="O230" s="183"/>
    </row>
    <row r="231">
      <c r="E231" s="73"/>
      <c r="F231" s="285"/>
      <c r="G231" s="73"/>
      <c r="H231" s="286"/>
      <c r="I231" s="27"/>
      <c r="N231" s="5"/>
      <c r="O231" s="183"/>
    </row>
    <row r="232">
      <c r="E232" s="73"/>
      <c r="F232" s="285"/>
      <c r="G232" s="73"/>
      <c r="H232" s="286"/>
      <c r="I232" s="27"/>
      <c r="N232" s="5"/>
      <c r="O232" s="183"/>
    </row>
    <row r="233">
      <c r="E233" s="73"/>
      <c r="F233" s="285"/>
      <c r="G233" s="73"/>
      <c r="H233" s="286"/>
      <c r="I233" s="27"/>
      <c r="N233" s="5"/>
      <c r="O233" s="183"/>
    </row>
    <row r="234">
      <c r="E234" s="73"/>
      <c r="F234" s="285"/>
      <c r="G234" s="73"/>
      <c r="H234" s="286"/>
      <c r="I234" s="27"/>
      <c r="N234" s="5"/>
      <c r="O234" s="183"/>
    </row>
    <row r="235">
      <c r="E235" s="73"/>
      <c r="F235" s="285"/>
      <c r="G235" s="73"/>
      <c r="H235" s="286"/>
      <c r="I235" s="27"/>
      <c r="N235" s="5"/>
      <c r="O235" s="183"/>
    </row>
    <row r="236">
      <c r="E236" s="73"/>
      <c r="F236" s="285"/>
      <c r="G236" s="73"/>
      <c r="H236" s="286"/>
      <c r="I236" s="27"/>
      <c r="N236" s="5"/>
      <c r="O236" s="183"/>
    </row>
    <row r="237">
      <c r="E237" s="73"/>
      <c r="F237" s="285"/>
      <c r="G237" s="73"/>
      <c r="H237" s="286"/>
      <c r="I237" s="27"/>
      <c r="N237" s="5"/>
      <c r="O237" s="183"/>
    </row>
    <row r="238">
      <c r="E238" s="73"/>
      <c r="F238" s="285"/>
      <c r="G238" s="73"/>
      <c r="H238" s="286"/>
      <c r="I238" s="27"/>
      <c r="N238" s="5"/>
      <c r="O238" s="183"/>
    </row>
    <row r="239">
      <c r="E239" s="73"/>
      <c r="F239" s="285"/>
      <c r="G239" s="73"/>
      <c r="H239" s="286"/>
      <c r="I239" s="27"/>
      <c r="N239" s="5"/>
      <c r="O239" s="183"/>
    </row>
    <row r="240">
      <c r="E240" s="73"/>
      <c r="F240" s="285"/>
      <c r="G240" s="73"/>
      <c r="H240" s="286"/>
      <c r="I240" s="27"/>
      <c r="N240" s="5"/>
      <c r="O240" s="183"/>
    </row>
    <row r="241">
      <c r="E241" s="73"/>
      <c r="F241" s="285"/>
      <c r="G241" s="73"/>
      <c r="H241" s="286"/>
      <c r="I241" s="27"/>
      <c r="N241" s="5"/>
      <c r="O241" s="183"/>
    </row>
    <row r="242">
      <c r="E242" s="73"/>
      <c r="F242" s="285"/>
      <c r="G242" s="73"/>
      <c r="H242" s="286"/>
      <c r="I242" s="27"/>
      <c r="N242" s="5"/>
      <c r="O242" s="183"/>
    </row>
    <row r="243">
      <c r="E243" s="73"/>
      <c r="F243" s="285"/>
      <c r="G243" s="73"/>
      <c r="H243" s="286"/>
      <c r="I243" s="27"/>
      <c r="N243" s="5"/>
      <c r="O243" s="183"/>
    </row>
    <row r="244">
      <c r="E244" s="73"/>
      <c r="F244" s="285"/>
      <c r="G244" s="73"/>
      <c r="H244" s="286"/>
      <c r="I244" s="27"/>
      <c r="N244" s="5"/>
      <c r="O244" s="183"/>
    </row>
    <row r="245">
      <c r="E245" s="73"/>
      <c r="F245" s="285"/>
      <c r="G245" s="73"/>
      <c r="H245" s="286"/>
      <c r="I245" s="27"/>
      <c r="N245" s="5"/>
      <c r="O245" s="183"/>
    </row>
    <row r="246">
      <c r="E246" s="73"/>
      <c r="F246" s="285"/>
      <c r="G246" s="73"/>
      <c r="H246" s="286"/>
      <c r="I246" s="27"/>
      <c r="N246" s="5"/>
      <c r="O246" s="183"/>
    </row>
    <row r="247">
      <c r="E247" s="73"/>
      <c r="F247" s="285"/>
      <c r="G247" s="73"/>
      <c r="H247" s="286"/>
      <c r="I247" s="27"/>
      <c r="N247" s="5"/>
      <c r="O247" s="183"/>
    </row>
    <row r="248">
      <c r="E248" s="73"/>
      <c r="F248" s="285"/>
      <c r="G248" s="73"/>
      <c r="H248" s="286"/>
      <c r="I248" s="27"/>
      <c r="N248" s="5"/>
      <c r="O248" s="183"/>
    </row>
    <row r="249">
      <c r="E249" s="73"/>
      <c r="F249" s="285"/>
      <c r="G249" s="73"/>
      <c r="H249" s="286"/>
      <c r="I249" s="27"/>
      <c r="N249" s="5"/>
      <c r="O249" s="183"/>
    </row>
    <row r="250">
      <c r="E250" s="73"/>
      <c r="F250" s="285"/>
      <c r="G250" s="73"/>
      <c r="H250" s="286"/>
      <c r="I250" s="27"/>
      <c r="N250" s="5"/>
      <c r="O250" s="183"/>
    </row>
    <row r="251">
      <c r="E251" s="73"/>
      <c r="F251" s="285"/>
      <c r="G251" s="73"/>
      <c r="H251" s="286"/>
      <c r="I251" s="27"/>
      <c r="N251" s="5"/>
      <c r="O251" s="183"/>
    </row>
    <row r="252">
      <c r="E252" s="73"/>
      <c r="F252" s="285"/>
      <c r="G252" s="73"/>
      <c r="H252" s="286"/>
      <c r="I252" s="27"/>
      <c r="N252" s="5"/>
      <c r="O252" s="183"/>
    </row>
    <row r="253">
      <c r="E253" s="73"/>
      <c r="F253" s="285"/>
      <c r="G253" s="73"/>
      <c r="H253" s="286"/>
      <c r="I253" s="27"/>
      <c r="N253" s="5"/>
      <c r="O253" s="183"/>
    </row>
    <row r="254">
      <c r="E254" s="73"/>
      <c r="F254" s="285"/>
      <c r="G254" s="73"/>
      <c r="H254" s="286"/>
      <c r="I254" s="27"/>
      <c r="N254" s="5"/>
      <c r="O254" s="183"/>
    </row>
    <row r="255">
      <c r="E255" s="73"/>
      <c r="F255" s="285"/>
      <c r="G255" s="73"/>
      <c r="H255" s="286"/>
      <c r="I255" s="27"/>
      <c r="N255" s="5"/>
      <c r="O255" s="183"/>
    </row>
    <row r="256">
      <c r="E256" s="73"/>
      <c r="F256" s="285"/>
      <c r="G256" s="73"/>
      <c r="H256" s="286"/>
      <c r="I256" s="27"/>
      <c r="N256" s="5"/>
      <c r="O256" s="183"/>
    </row>
    <row r="257">
      <c r="E257" s="73"/>
      <c r="F257" s="285"/>
      <c r="G257" s="73"/>
      <c r="H257" s="286"/>
      <c r="I257" s="27"/>
      <c r="N257" s="5"/>
      <c r="O257" s="183"/>
    </row>
    <row r="258">
      <c r="E258" s="73"/>
      <c r="F258" s="285"/>
      <c r="G258" s="73"/>
      <c r="H258" s="286"/>
      <c r="I258" s="27"/>
      <c r="N258" s="5"/>
      <c r="O258" s="183"/>
    </row>
    <row r="259">
      <c r="E259" s="73"/>
      <c r="F259" s="285"/>
      <c r="G259" s="73"/>
      <c r="H259" s="286"/>
      <c r="I259" s="27"/>
      <c r="N259" s="5"/>
      <c r="O259" s="183"/>
    </row>
    <row r="260">
      <c r="E260" s="73"/>
      <c r="F260" s="285"/>
      <c r="G260" s="73"/>
      <c r="H260" s="286"/>
      <c r="I260" s="27"/>
      <c r="N260" s="5"/>
      <c r="O260" s="183"/>
    </row>
    <row r="261">
      <c r="E261" s="73"/>
      <c r="F261" s="285"/>
      <c r="G261" s="73"/>
      <c r="H261" s="286"/>
      <c r="I261" s="27"/>
      <c r="N261" s="5"/>
      <c r="O261" s="183"/>
    </row>
    <row r="262">
      <c r="E262" s="73"/>
      <c r="F262" s="285"/>
      <c r="G262" s="73"/>
      <c r="H262" s="286"/>
      <c r="I262" s="27"/>
      <c r="N262" s="5"/>
      <c r="O262" s="183"/>
    </row>
    <row r="263">
      <c r="E263" s="73"/>
      <c r="F263" s="285"/>
      <c r="G263" s="73"/>
      <c r="H263" s="286"/>
      <c r="I263" s="27"/>
      <c r="N263" s="5"/>
      <c r="O263" s="183"/>
    </row>
    <row r="264">
      <c r="E264" s="73"/>
      <c r="F264" s="285"/>
      <c r="G264" s="73"/>
      <c r="H264" s="286"/>
      <c r="I264" s="27"/>
      <c r="N264" s="5"/>
      <c r="O264" s="183"/>
    </row>
    <row r="265">
      <c r="E265" s="73"/>
      <c r="F265" s="285"/>
      <c r="G265" s="73"/>
      <c r="H265" s="286"/>
      <c r="I265" s="27"/>
      <c r="N265" s="5"/>
      <c r="O265" s="183"/>
    </row>
    <row r="266">
      <c r="E266" s="73"/>
      <c r="F266" s="285"/>
      <c r="G266" s="73"/>
      <c r="H266" s="286"/>
      <c r="I266" s="27"/>
      <c r="N266" s="5"/>
      <c r="O266" s="183"/>
    </row>
    <row r="267">
      <c r="E267" s="73"/>
      <c r="F267" s="285"/>
      <c r="G267" s="73"/>
      <c r="H267" s="286"/>
      <c r="I267" s="27"/>
      <c r="N267" s="5"/>
      <c r="O267" s="183"/>
    </row>
    <row r="268">
      <c r="E268" s="73"/>
      <c r="F268" s="285"/>
      <c r="G268" s="73"/>
      <c r="H268" s="286"/>
      <c r="I268" s="27"/>
      <c r="N268" s="5"/>
      <c r="O268" s="183"/>
    </row>
    <row r="269">
      <c r="E269" s="73"/>
      <c r="F269" s="285"/>
      <c r="G269" s="73"/>
      <c r="H269" s="286"/>
      <c r="I269" s="27"/>
      <c r="N269" s="5"/>
      <c r="O269" s="183"/>
    </row>
    <row r="270">
      <c r="E270" s="73"/>
      <c r="F270" s="285"/>
      <c r="G270" s="73"/>
      <c r="H270" s="286"/>
      <c r="I270" s="27"/>
      <c r="N270" s="5"/>
      <c r="O270" s="183"/>
    </row>
    <row r="271">
      <c r="E271" s="73"/>
      <c r="F271" s="285"/>
      <c r="G271" s="73"/>
      <c r="H271" s="286"/>
      <c r="I271" s="27"/>
      <c r="N271" s="5"/>
      <c r="O271" s="183"/>
    </row>
    <row r="272">
      <c r="E272" s="73"/>
      <c r="F272" s="285"/>
      <c r="G272" s="73"/>
      <c r="H272" s="286"/>
      <c r="I272" s="27"/>
      <c r="N272" s="5"/>
      <c r="O272" s="183"/>
    </row>
    <row r="273">
      <c r="E273" s="73"/>
      <c r="F273" s="285"/>
      <c r="G273" s="73"/>
      <c r="H273" s="286"/>
      <c r="I273" s="27"/>
      <c r="N273" s="5"/>
      <c r="O273" s="183"/>
    </row>
    <row r="274">
      <c r="E274" s="73"/>
      <c r="F274" s="285"/>
      <c r="G274" s="73"/>
      <c r="H274" s="286"/>
      <c r="I274" s="27"/>
      <c r="N274" s="5"/>
      <c r="O274" s="183"/>
    </row>
    <row r="275">
      <c r="E275" s="73"/>
      <c r="F275" s="285"/>
      <c r="G275" s="73"/>
      <c r="H275" s="286"/>
      <c r="I275" s="27"/>
      <c r="N275" s="5"/>
      <c r="O275" s="183"/>
    </row>
    <row r="276">
      <c r="E276" s="73"/>
      <c r="F276" s="285"/>
      <c r="G276" s="73"/>
      <c r="H276" s="286"/>
      <c r="I276" s="27"/>
      <c r="N276" s="5"/>
      <c r="O276" s="183"/>
    </row>
    <row r="277">
      <c r="E277" s="73"/>
      <c r="F277" s="285"/>
      <c r="G277" s="73"/>
      <c r="H277" s="286"/>
      <c r="I277" s="27"/>
      <c r="N277" s="5"/>
      <c r="O277" s="183"/>
    </row>
    <row r="278">
      <c r="E278" s="73"/>
      <c r="F278" s="285"/>
      <c r="G278" s="73"/>
      <c r="H278" s="286"/>
      <c r="I278" s="27"/>
      <c r="N278" s="5"/>
      <c r="O278" s="183"/>
    </row>
    <row r="279">
      <c r="E279" s="73"/>
      <c r="F279" s="285"/>
      <c r="G279" s="73"/>
      <c r="H279" s="286"/>
      <c r="I279" s="27"/>
      <c r="N279" s="5"/>
      <c r="O279" s="183"/>
    </row>
    <row r="280">
      <c r="E280" s="73"/>
      <c r="F280" s="285"/>
      <c r="G280" s="73"/>
      <c r="H280" s="286"/>
      <c r="I280" s="27"/>
      <c r="N280" s="5"/>
      <c r="O280" s="183"/>
    </row>
    <row r="281">
      <c r="E281" s="73"/>
      <c r="F281" s="285"/>
      <c r="G281" s="73"/>
      <c r="H281" s="286"/>
      <c r="I281" s="27"/>
      <c r="N281" s="5"/>
      <c r="O281" s="183"/>
    </row>
    <row r="282">
      <c r="E282" s="73"/>
      <c r="F282" s="285"/>
      <c r="G282" s="73"/>
      <c r="H282" s="286"/>
      <c r="I282" s="27"/>
      <c r="N282" s="5"/>
      <c r="O282" s="183"/>
    </row>
    <row r="283">
      <c r="E283" s="73"/>
      <c r="F283" s="285"/>
      <c r="G283" s="73"/>
      <c r="H283" s="286"/>
      <c r="I283" s="27"/>
      <c r="N283" s="5"/>
      <c r="O283" s="183"/>
    </row>
    <row r="284">
      <c r="E284" s="73"/>
      <c r="F284" s="285"/>
      <c r="G284" s="73"/>
      <c r="H284" s="286"/>
      <c r="I284" s="27"/>
      <c r="N284" s="5"/>
      <c r="O284" s="183"/>
    </row>
    <row r="285">
      <c r="E285" s="73"/>
      <c r="F285" s="285"/>
      <c r="G285" s="73"/>
      <c r="H285" s="286"/>
      <c r="I285" s="27"/>
      <c r="N285" s="5"/>
      <c r="O285" s="183"/>
    </row>
    <row r="286">
      <c r="E286" s="73"/>
      <c r="F286" s="285"/>
      <c r="G286" s="73"/>
      <c r="H286" s="286"/>
      <c r="I286" s="27"/>
      <c r="N286" s="5"/>
      <c r="O286" s="183"/>
    </row>
    <row r="287">
      <c r="E287" s="73"/>
      <c r="F287" s="285"/>
      <c r="G287" s="73"/>
      <c r="H287" s="286"/>
      <c r="I287" s="27"/>
      <c r="N287" s="5"/>
      <c r="O287" s="183"/>
    </row>
    <row r="288">
      <c r="E288" s="73"/>
      <c r="F288" s="285"/>
      <c r="G288" s="73"/>
      <c r="H288" s="286"/>
      <c r="I288" s="27"/>
      <c r="N288" s="5"/>
      <c r="O288" s="183"/>
    </row>
    <row r="289">
      <c r="E289" s="73"/>
      <c r="F289" s="285"/>
      <c r="G289" s="73"/>
      <c r="H289" s="286"/>
      <c r="I289" s="27"/>
      <c r="N289" s="5"/>
      <c r="O289" s="183"/>
    </row>
    <row r="290">
      <c r="E290" s="73"/>
      <c r="F290" s="285"/>
      <c r="G290" s="73"/>
      <c r="H290" s="286"/>
      <c r="I290" s="27"/>
      <c r="N290" s="5"/>
      <c r="O290" s="183"/>
    </row>
    <row r="291">
      <c r="E291" s="73"/>
      <c r="F291" s="285"/>
      <c r="G291" s="73"/>
      <c r="H291" s="286"/>
      <c r="I291" s="27"/>
      <c r="N291" s="5"/>
      <c r="O291" s="183"/>
    </row>
    <row r="292">
      <c r="E292" s="73"/>
      <c r="F292" s="285"/>
      <c r="G292" s="73"/>
      <c r="H292" s="286"/>
      <c r="I292" s="27"/>
      <c r="N292" s="5"/>
      <c r="O292" s="183"/>
    </row>
    <row r="293">
      <c r="E293" s="73"/>
      <c r="F293" s="285"/>
      <c r="G293" s="73"/>
      <c r="H293" s="286"/>
      <c r="I293" s="27"/>
      <c r="N293" s="5"/>
      <c r="O293" s="183"/>
    </row>
    <row r="294">
      <c r="E294" s="73"/>
      <c r="F294" s="285"/>
      <c r="G294" s="73"/>
      <c r="H294" s="286"/>
      <c r="I294" s="27"/>
      <c r="N294" s="5"/>
      <c r="O294" s="183"/>
    </row>
    <row r="295">
      <c r="E295" s="73"/>
      <c r="F295" s="285"/>
      <c r="G295" s="73"/>
      <c r="H295" s="286"/>
      <c r="I295" s="27"/>
      <c r="N295" s="5"/>
      <c r="O295" s="183"/>
    </row>
    <row r="296">
      <c r="E296" s="73"/>
      <c r="F296" s="285"/>
      <c r="G296" s="73"/>
      <c r="H296" s="286"/>
      <c r="I296" s="27"/>
      <c r="N296" s="5"/>
      <c r="O296" s="183"/>
    </row>
    <row r="297">
      <c r="E297" s="73"/>
      <c r="F297" s="285"/>
      <c r="G297" s="73"/>
      <c r="H297" s="286"/>
      <c r="I297" s="27"/>
      <c r="N297" s="5"/>
      <c r="O297" s="183"/>
    </row>
    <row r="298">
      <c r="E298" s="73"/>
      <c r="F298" s="285"/>
      <c r="G298" s="73"/>
      <c r="H298" s="286"/>
      <c r="I298" s="27"/>
      <c r="N298" s="5"/>
      <c r="O298" s="183"/>
    </row>
    <row r="299">
      <c r="E299" s="73"/>
      <c r="F299" s="285"/>
      <c r="G299" s="73"/>
      <c r="H299" s="286"/>
      <c r="I299" s="27"/>
      <c r="N299" s="5"/>
      <c r="O299" s="183"/>
    </row>
    <row r="300">
      <c r="E300" s="73"/>
      <c r="F300" s="285"/>
      <c r="G300" s="73"/>
      <c r="H300" s="286"/>
      <c r="I300" s="27"/>
      <c r="N300" s="5"/>
      <c r="O300" s="183"/>
    </row>
    <row r="301">
      <c r="E301" s="73"/>
      <c r="F301" s="285"/>
      <c r="G301" s="73"/>
      <c r="H301" s="286"/>
      <c r="I301" s="27"/>
      <c r="N301" s="5"/>
      <c r="O301" s="183"/>
    </row>
    <row r="302">
      <c r="E302" s="73"/>
      <c r="F302" s="285"/>
      <c r="G302" s="73"/>
      <c r="H302" s="286"/>
      <c r="I302" s="27"/>
      <c r="N302" s="5"/>
      <c r="O302" s="183"/>
    </row>
    <row r="303">
      <c r="E303" s="73"/>
      <c r="F303" s="285"/>
      <c r="G303" s="73"/>
      <c r="H303" s="286"/>
      <c r="I303" s="27"/>
      <c r="N303" s="5"/>
      <c r="O303" s="183"/>
    </row>
    <row r="304">
      <c r="E304" s="73"/>
      <c r="F304" s="285"/>
      <c r="G304" s="73"/>
      <c r="H304" s="286"/>
      <c r="I304" s="27"/>
      <c r="N304" s="5"/>
      <c r="O304" s="183"/>
    </row>
    <row r="305">
      <c r="E305" s="73"/>
      <c r="F305" s="285"/>
      <c r="G305" s="73"/>
      <c r="H305" s="286"/>
      <c r="I305" s="27"/>
      <c r="N305" s="5"/>
      <c r="O305" s="183"/>
    </row>
    <row r="306">
      <c r="E306" s="73"/>
      <c r="F306" s="285"/>
      <c r="G306" s="73"/>
      <c r="H306" s="286"/>
      <c r="I306" s="27"/>
      <c r="N306" s="5"/>
      <c r="O306" s="183"/>
    </row>
    <row r="307">
      <c r="E307" s="73"/>
      <c r="F307" s="285"/>
      <c r="G307" s="73"/>
      <c r="H307" s="286"/>
      <c r="I307" s="27"/>
      <c r="N307" s="5"/>
      <c r="O307" s="183"/>
    </row>
    <row r="308">
      <c r="E308" s="73"/>
      <c r="F308" s="285"/>
      <c r="G308" s="73"/>
      <c r="H308" s="286"/>
      <c r="I308" s="27"/>
      <c r="N308" s="5"/>
      <c r="O308" s="183"/>
    </row>
    <row r="309">
      <c r="E309" s="73"/>
      <c r="F309" s="285"/>
      <c r="G309" s="73"/>
      <c r="H309" s="286"/>
      <c r="I309" s="27"/>
      <c r="N309" s="5"/>
      <c r="O309" s="183"/>
    </row>
    <row r="310">
      <c r="E310" s="73"/>
      <c r="F310" s="285"/>
      <c r="G310" s="73"/>
      <c r="H310" s="286"/>
      <c r="I310" s="27"/>
      <c r="N310" s="5"/>
      <c r="O310" s="183"/>
    </row>
    <row r="311">
      <c r="E311" s="73"/>
      <c r="F311" s="285"/>
      <c r="G311" s="73"/>
      <c r="H311" s="286"/>
      <c r="I311" s="27"/>
      <c r="N311" s="5"/>
      <c r="O311" s="183"/>
    </row>
    <row r="312">
      <c r="E312" s="73"/>
      <c r="F312" s="285"/>
      <c r="G312" s="73"/>
      <c r="H312" s="286"/>
      <c r="I312" s="27"/>
      <c r="N312" s="5"/>
      <c r="O312" s="183"/>
    </row>
    <row r="313">
      <c r="E313" s="73"/>
      <c r="F313" s="285"/>
      <c r="G313" s="73"/>
      <c r="H313" s="286"/>
      <c r="I313" s="27"/>
      <c r="N313" s="5"/>
      <c r="O313" s="183"/>
    </row>
    <row r="314">
      <c r="E314" s="73"/>
      <c r="F314" s="285"/>
      <c r="G314" s="73"/>
      <c r="H314" s="286"/>
      <c r="I314" s="27"/>
      <c r="N314" s="5"/>
      <c r="O314" s="183"/>
    </row>
    <row r="315">
      <c r="E315" s="73"/>
      <c r="F315" s="285"/>
      <c r="G315" s="73"/>
      <c r="H315" s="286"/>
      <c r="I315" s="27"/>
      <c r="N315" s="5"/>
      <c r="O315" s="183"/>
    </row>
    <row r="316">
      <c r="E316" s="73"/>
      <c r="F316" s="285"/>
      <c r="G316" s="73"/>
      <c r="H316" s="286"/>
      <c r="I316" s="27"/>
      <c r="N316" s="5"/>
      <c r="O316" s="183"/>
    </row>
    <row r="317">
      <c r="E317" s="73"/>
      <c r="F317" s="285"/>
      <c r="G317" s="73"/>
      <c r="H317" s="286"/>
      <c r="I317" s="27"/>
      <c r="N317" s="5"/>
      <c r="O317" s="183"/>
    </row>
    <row r="318">
      <c r="E318" s="73"/>
      <c r="F318" s="285"/>
      <c r="G318" s="73"/>
      <c r="H318" s="286"/>
      <c r="I318" s="27"/>
      <c r="N318" s="5"/>
      <c r="O318" s="183"/>
    </row>
    <row r="319">
      <c r="E319" s="73"/>
      <c r="F319" s="285"/>
      <c r="G319" s="73"/>
      <c r="H319" s="286"/>
      <c r="I319" s="27"/>
      <c r="N319" s="5"/>
      <c r="O319" s="183"/>
    </row>
    <row r="320">
      <c r="E320" s="73"/>
      <c r="F320" s="285"/>
      <c r="G320" s="73"/>
      <c r="H320" s="286"/>
      <c r="I320" s="27"/>
      <c r="N320" s="5"/>
      <c r="O320" s="183"/>
    </row>
    <row r="321">
      <c r="E321" s="73"/>
      <c r="F321" s="285"/>
      <c r="G321" s="73"/>
      <c r="H321" s="286"/>
      <c r="I321" s="27"/>
      <c r="N321" s="5"/>
      <c r="O321" s="183"/>
    </row>
    <row r="322">
      <c r="E322" s="73"/>
      <c r="F322" s="285"/>
      <c r="G322" s="73"/>
      <c r="H322" s="286"/>
      <c r="I322" s="27"/>
      <c r="N322" s="5"/>
      <c r="O322" s="183"/>
    </row>
    <row r="323">
      <c r="E323" s="73"/>
      <c r="F323" s="285"/>
      <c r="G323" s="73"/>
      <c r="H323" s="286"/>
      <c r="I323" s="27"/>
      <c r="N323" s="5"/>
      <c r="O323" s="183"/>
    </row>
    <row r="324">
      <c r="E324" s="73"/>
      <c r="F324" s="285"/>
      <c r="G324" s="73"/>
      <c r="H324" s="286"/>
      <c r="I324" s="27"/>
      <c r="N324" s="5"/>
      <c r="O324" s="183"/>
    </row>
    <row r="325">
      <c r="E325" s="73"/>
      <c r="F325" s="285"/>
      <c r="G325" s="73"/>
      <c r="H325" s="286"/>
      <c r="I325" s="27"/>
      <c r="N325" s="5"/>
      <c r="O325" s="183"/>
    </row>
    <row r="326">
      <c r="E326" s="73"/>
      <c r="F326" s="285"/>
      <c r="G326" s="73"/>
      <c r="H326" s="286"/>
      <c r="I326" s="27"/>
      <c r="N326" s="5"/>
      <c r="O326" s="183"/>
    </row>
    <row r="327">
      <c r="E327" s="73"/>
      <c r="F327" s="285"/>
      <c r="G327" s="73"/>
      <c r="H327" s="286"/>
      <c r="I327" s="27"/>
      <c r="N327" s="5"/>
      <c r="O327" s="183"/>
    </row>
    <row r="328">
      <c r="E328" s="73"/>
      <c r="F328" s="285"/>
      <c r="G328" s="73"/>
      <c r="H328" s="286"/>
      <c r="I328" s="27"/>
      <c r="N328" s="5"/>
      <c r="O328" s="183"/>
    </row>
    <row r="329">
      <c r="E329" s="73"/>
      <c r="F329" s="285"/>
      <c r="G329" s="73"/>
      <c r="H329" s="286"/>
      <c r="I329" s="27"/>
      <c r="N329" s="5"/>
      <c r="O329" s="183"/>
    </row>
    <row r="330">
      <c r="E330" s="73"/>
      <c r="F330" s="285"/>
      <c r="G330" s="73"/>
      <c r="H330" s="286"/>
      <c r="I330" s="27"/>
      <c r="N330" s="5"/>
      <c r="O330" s="183"/>
    </row>
    <row r="331">
      <c r="E331" s="73"/>
      <c r="F331" s="285"/>
      <c r="G331" s="73"/>
      <c r="H331" s="286"/>
      <c r="I331" s="27"/>
      <c r="N331" s="5"/>
      <c r="O331" s="183"/>
    </row>
    <row r="332">
      <c r="E332" s="73"/>
      <c r="F332" s="285"/>
      <c r="G332" s="73"/>
      <c r="H332" s="286"/>
      <c r="I332" s="27"/>
      <c r="N332" s="5"/>
      <c r="O332" s="183"/>
    </row>
    <row r="333">
      <c r="E333" s="73"/>
      <c r="F333" s="285"/>
      <c r="G333" s="73"/>
      <c r="H333" s="286"/>
      <c r="I333" s="27"/>
      <c r="N333" s="5"/>
      <c r="O333" s="183"/>
    </row>
    <row r="334">
      <c r="E334" s="73"/>
      <c r="F334" s="285"/>
      <c r="G334" s="73"/>
      <c r="H334" s="286"/>
      <c r="I334" s="27"/>
      <c r="N334" s="5"/>
      <c r="O334" s="183"/>
    </row>
    <row r="335">
      <c r="E335" s="73"/>
      <c r="F335" s="285"/>
      <c r="G335" s="73"/>
      <c r="H335" s="286"/>
      <c r="I335" s="27"/>
      <c r="N335" s="5"/>
      <c r="O335" s="183"/>
    </row>
    <row r="336">
      <c r="E336" s="73"/>
      <c r="F336" s="285"/>
      <c r="G336" s="73"/>
      <c r="H336" s="286"/>
      <c r="I336" s="27"/>
      <c r="N336" s="5"/>
      <c r="O336" s="183"/>
    </row>
    <row r="337">
      <c r="E337" s="73"/>
      <c r="F337" s="285"/>
      <c r="G337" s="73"/>
      <c r="H337" s="286"/>
      <c r="I337" s="27"/>
      <c r="N337" s="5"/>
      <c r="O337" s="183"/>
    </row>
    <row r="338">
      <c r="E338" s="73"/>
      <c r="F338" s="285"/>
      <c r="G338" s="73"/>
      <c r="H338" s="286"/>
      <c r="I338" s="27"/>
      <c r="N338" s="5"/>
      <c r="O338" s="183"/>
    </row>
    <row r="339">
      <c r="E339" s="73"/>
      <c r="F339" s="285"/>
      <c r="G339" s="73"/>
      <c r="H339" s="286"/>
      <c r="I339" s="27"/>
      <c r="N339" s="5"/>
      <c r="O339" s="183"/>
    </row>
    <row r="340">
      <c r="E340" s="73"/>
      <c r="F340" s="285"/>
      <c r="G340" s="73"/>
      <c r="H340" s="286"/>
      <c r="I340" s="27"/>
      <c r="N340" s="5"/>
      <c r="O340" s="183"/>
    </row>
    <row r="341">
      <c r="E341" s="73"/>
      <c r="F341" s="285"/>
      <c r="G341" s="73"/>
      <c r="H341" s="286"/>
      <c r="I341" s="27"/>
      <c r="N341" s="5"/>
      <c r="O341" s="183"/>
    </row>
    <row r="342">
      <c r="E342" s="73"/>
      <c r="F342" s="285"/>
      <c r="G342" s="73"/>
      <c r="H342" s="286"/>
      <c r="I342" s="27"/>
      <c r="N342" s="5"/>
      <c r="O342" s="183"/>
    </row>
    <row r="343">
      <c r="E343" s="73"/>
      <c r="F343" s="285"/>
      <c r="G343" s="73"/>
      <c r="H343" s="286"/>
      <c r="I343" s="27"/>
      <c r="N343" s="5"/>
      <c r="O343" s="183"/>
    </row>
    <row r="344">
      <c r="E344" s="73"/>
      <c r="F344" s="285"/>
      <c r="G344" s="73"/>
      <c r="H344" s="286"/>
      <c r="I344" s="27"/>
      <c r="N344" s="5"/>
      <c r="O344" s="183"/>
    </row>
    <row r="345">
      <c r="E345" s="73"/>
      <c r="F345" s="285"/>
      <c r="G345" s="73"/>
      <c r="H345" s="286"/>
      <c r="I345" s="27"/>
      <c r="N345" s="5"/>
      <c r="O345" s="183"/>
    </row>
    <row r="346">
      <c r="E346" s="73"/>
      <c r="F346" s="285"/>
      <c r="G346" s="73"/>
      <c r="H346" s="286"/>
      <c r="I346" s="27"/>
      <c r="N346" s="5"/>
      <c r="O346" s="183"/>
    </row>
    <row r="347">
      <c r="E347" s="73"/>
      <c r="F347" s="285"/>
      <c r="G347" s="73"/>
      <c r="H347" s="286"/>
      <c r="I347" s="27"/>
      <c r="N347" s="5"/>
      <c r="O347" s="183"/>
    </row>
    <row r="348">
      <c r="E348" s="73"/>
      <c r="F348" s="285"/>
      <c r="G348" s="73"/>
      <c r="H348" s="286"/>
      <c r="I348" s="27"/>
      <c r="N348" s="5"/>
      <c r="O348" s="183"/>
    </row>
    <row r="349">
      <c r="E349" s="73"/>
      <c r="F349" s="285"/>
      <c r="G349" s="73"/>
      <c r="H349" s="286"/>
      <c r="I349" s="27"/>
      <c r="N349" s="5"/>
      <c r="O349" s="183"/>
    </row>
    <row r="350">
      <c r="E350" s="73"/>
      <c r="F350" s="285"/>
      <c r="G350" s="73"/>
      <c r="H350" s="286"/>
      <c r="I350" s="27"/>
      <c r="N350" s="5"/>
      <c r="O350" s="183"/>
    </row>
    <row r="351">
      <c r="E351" s="73"/>
      <c r="F351" s="285"/>
      <c r="G351" s="73"/>
      <c r="H351" s="286"/>
      <c r="I351" s="27"/>
      <c r="N351" s="5"/>
      <c r="O351" s="183"/>
    </row>
    <row r="352">
      <c r="E352" s="73"/>
      <c r="F352" s="285"/>
      <c r="G352" s="73"/>
      <c r="H352" s="286"/>
      <c r="I352" s="27"/>
      <c r="N352" s="5"/>
      <c r="O352" s="183"/>
    </row>
    <row r="353">
      <c r="E353" s="73"/>
      <c r="F353" s="285"/>
      <c r="G353" s="73"/>
      <c r="H353" s="286"/>
      <c r="I353" s="27"/>
      <c r="N353" s="5"/>
      <c r="O353" s="183"/>
    </row>
    <row r="354">
      <c r="E354" s="73"/>
      <c r="F354" s="285"/>
      <c r="G354" s="73"/>
      <c r="H354" s="286"/>
      <c r="I354" s="27"/>
      <c r="N354" s="5"/>
      <c r="O354" s="183"/>
    </row>
    <row r="355">
      <c r="E355" s="73"/>
      <c r="F355" s="285"/>
      <c r="G355" s="73"/>
      <c r="H355" s="286"/>
      <c r="I355" s="27"/>
      <c r="N355" s="5"/>
      <c r="O355" s="183"/>
    </row>
    <row r="356">
      <c r="E356" s="73"/>
      <c r="F356" s="285"/>
      <c r="G356" s="73"/>
      <c r="H356" s="286"/>
      <c r="I356" s="27"/>
      <c r="N356" s="5"/>
      <c r="O356" s="183"/>
    </row>
    <row r="357">
      <c r="E357" s="73"/>
      <c r="F357" s="285"/>
      <c r="G357" s="73"/>
      <c r="H357" s="286"/>
      <c r="I357" s="27"/>
      <c r="N357" s="5"/>
      <c r="O357" s="183"/>
    </row>
    <row r="358">
      <c r="E358" s="73"/>
      <c r="F358" s="285"/>
      <c r="G358" s="73"/>
      <c r="H358" s="286"/>
      <c r="I358" s="27"/>
      <c r="N358" s="5"/>
      <c r="O358" s="183"/>
    </row>
    <row r="359">
      <c r="E359" s="73"/>
      <c r="F359" s="285"/>
      <c r="G359" s="73"/>
      <c r="H359" s="286"/>
      <c r="I359" s="27"/>
      <c r="N359" s="5"/>
      <c r="O359" s="183"/>
    </row>
    <row r="360">
      <c r="E360" s="73"/>
      <c r="F360" s="285"/>
      <c r="G360" s="73"/>
      <c r="H360" s="286"/>
      <c r="I360" s="27"/>
      <c r="N360" s="5"/>
      <c r="O360" s="183"/>
    </row>
    <row r="361">
      <c r="E361" s="73"/>
      <c r="F361" s="285"/>
      <c r="G361" s="73"/>
      <c r="H361" s="286"/>
      <c r="I361" s="27"/>
      <c r="N361" s="5"/>
      <c r="O361" s="183"/>
    </row>
    <row r="362">
      <c r="E362" s="73"/>
      <c r="F362" s="285"/>
      <c r="G362" s="73"/>
      <c r="H362" s="286"/>
      <c r="I362" s="27"/>
      <c r="N362" s="5"/>
      <c r="O362" s="183"/>
    </row>
    <row r="363">
      <c r="E363" s="73"/>
      <c r="F363" s="285"/>
      <c r="G363" s="73"/>
      <c r="H363" s="286"/>
      <c r="I363" s="27"/>
      <c r="N363" s="5"/>
      <c r="O363" s="183"/>
    </row>
    <row r="364">
      <c r="E364" s="73"/>
      <c r="F364" s="285"/>
      <c r="G364" s="73"/>
      <c r="H364" s="286"/>
      <c r="I364" s="27"/>
      <c r="N364" s="5"/>
      <c r="O364" s="183"/>
    </row>
    <row r="365">
      <c r="E365" s="73"/>
      <c r="F365" s="285"/>
      <c r="G365" s="73"/>
      <c r="H365" s="286"/>
      <c r="I365" s="27"/>
      <c r="N365" s="5"/>
      <c r="O365" s="183"/>
    </row>
    <row r="366">
      <c r="E366" s="73"/>
      <c r="F366" s="285"/>
      <c r="G366" s="73"/>
      <c r="H366" s="286"/>
      <c r="I366" s="27"/>
      <c r="N366" s="5"/>
      <c r="O366" s="183"/>
    </row>
    <row r="367">
      <c r="E367" s="73"/>
      <c r="F367" s="285"/>
      <c r="G367" s="73"/>
      <c r="H367" s="286"/>
      <c r="I367" s="27"/>
      <c r="N367" s="5"/>
      <c r="O367" s="183"/>
    </row>
    <row r="368">
      <c r="E368" s="73"/>
      <c r="F368" s="285"/>
      <c r="G368" s="73"/>
      <c r="H368" s="286"/>
      <c r="I368" s="27"/>
      <c r="N368" s="5"/>
      <c r="O368" s="183"/>
    </row>
    <row r="369">
      <c r="E369" s="73"/>
      <c r="F369" s="285"/>
      <c r="G369" s="73"/>
      <c r="H369" s="286"/>
      <c r="I369" s="27"/>
      <c r="N369" s="5"/>
      <c r="O369" s="183"/>
    </row>
    <row r="370">
      <c r="E370" s="73"/>
      <c r="F370" s="285"/>
      <c r="G370" s="73"/>
      <c r="H370" s="286"/>
      <c r="I370" s="27"/>
      <c r="N370" s="5"/>
      <c r="O370" s="183"/>
    </row>
    <row r="371">
      <c r="E371" s="73"/>
      <c r="F371" s="285"/>
      <c r="G371" s="73"/>
      <c r="H371" s="286"/>
      <c r="I371" s="27"/>
      <c r="N371" s="5"/>
      <c r="O371" s="183"/>
    </row>
    <row r="372">
      <c r="E372" s="73"/>
      <c r="F372" s="285"/>
      <c r="G372" s="73"/>
      <c r="H372" s="286"/>
      <c r="I372" s="27"/>
      <c r="N372" s="5"/>
      <c r="O372" s="183"/>
    </row>
    <row r="373">
      <c r="E373" s="73"/>
      <c r="F373" s="285"/>
      <c r="G373" s="73"/>
      <c r="H373" s="286"/>
      <c r="I373" s="27"/>
      <c r="N373" s="5"/>
      <c r="O373" s="183"/>
    </row>
    <row r="374">
      <c r="E374" s="73"/>
      <c r="F374" s="285"/>
      <c r="G374" s="73"/>
      <c r="H374" s="286"/>
      <c r="I374" s="27"/>
      <c r="N374" s="5"/>
      <c r="O374" s="183"/>
    </row>
    <row r="375">
      <c r="E375" s="73"/>
      <c r="F375" s="285"/>
      <c r="G375" s="73"/>
      <c r="H375" s="286"/>
      <c r="I375" s="27"/>
      <c r="N375" s="5"/>
      <c r="O375" s="183"/>
    </row>
    <row r="376">
      <c r="E376" s="73"/>
      <c r="F376" s="285"/>
      <c r="G376" s="73"/>
      <c r="H376" s="286"/>
      <c r="I376" s="27"/>
      <c r="N376" s="5"/>
      <c r="O376" s="183"/>
    </row>
    <row r="377">
      <c r="E377" s="73"/>
      <c r="F377" s="285"/>
      <c r="G377" s="73"/>
      <c r="H377" s="286"/>
      <c r="I377" s="27"/>
      <c r="N377" s="5"/>
      <c r="O377" s="183"/>
    </row>
    <row r="378">
      <c r="E378" s="73"/>
      <c r="F378" s="285"/>
      <c r="G378" s="73"/>
      <c r="H378" s="286"/>
      <c r="I378" s="27"/>
      <c r="N378" s="5"/>
      <c r="O378" s="183"/>
    </row>
    <row r="379">
      <c r="E379" s="73"/>
      <c r="F379" s="285"/>
      <c r="G379" s="73"/>
      <c r="H379" s="286"/>
      <c r="I379" s="27"/>
      <c r="N379" s="5"/>
      <c r="O379" s="183"/>
    </row>
    <row r="380">
      <c r="E380" s="73"/>
      <c r="F380" s="285"/>
      <c r="G380" s="73"/>
      <c r="H380" s="286"/>
      <c r="I380" s="27"/>
      <c r="N380" s="5"/>
      <c r="O380" s="183"/>
    </row>
    <row r="381">
      <c r="E381" s="73"/>
      <c r="F381" s="285"/>
      <c r="G381" s="73"/>
      <c r="H381" s="286"/>
      <c r="I381" s="27"/>
      <c r="N381" s="5"/>
      <c r="O381" s="183"/>
    </row>
    <row r="382">
      <c r="E382" s="73"/>
      <c r="F382" s="285"/>
      <c r="G382" s="73"/>
      <c r="H382" s="286"/>
      <c r="I382" s="27"/>
      <c r="N382" s="5"/>
      <c r="O382" s="183"/>
    </row>
    <row r="383">
      <c r="E383" s="73"/>
      <c r="F383" s="285"/>
      <c r="G383" s="73"/>
      <c r="H383" s="286"/>
      <c r="I383" s="27"/>
      <c r="N383" s="5"/>
      <c r="O383" s="183"/>
    </row>
    <row r="384">
      <c r="E384" s="73"/>
      <c r="F384" s="285"/>
      <c r="G384" s="73"/>
      <c r="H384" s="286"/>
      <c r="I384" s="27"/>
      <c r="N384" s="5"/>
      <c r="O384" s="183"/>
    </row>
    <row r="385">
      <c r="E385" s="73"/>
      <c r="F385" s="285"/>
      <c r="G385" s="73"/>
      <c r="H385" s="286"/>
      <c r="I385" s="27"/>
      <c r="N385" s="5"/>
      <c r="O385" s="183"/>
    </row>
    <row r="386">
      <c r="E386" s="73"/>
      <c r="F386" s="285"/>
      <c r="G386" s="73"/>
      <c r="H386" s="286"/>
      <c r="I386" s="27"/>
      <c r="N386" s="5"/>
      <c r="O386" s="183"/>
    </row>
    <row r="387">
      <c r="E387" s="73"/>
      <c r="F387" s="285"/>
      <c r="G387" s="73"/>
      <c r="H387" s="286"/>
      <c r="I387" s="27"/>
      <c r="N387" s="5"/>
      <c r="O387" s="183"/>
    </row>
    <row r="388">
      <c r="E388" s="73"/>
      <c r="F388" s="285"/>
      <c r="G388" s="73"/>
      <c r="H388" s="286"/>
      <c r="I388" s="27"/>
      <c r="N388" s="5"/>
      <c r="O388" s="183"/>
    </row>
    <row r="389">
      <c r="E389" s="73"/>
      <c r="F389" s="285"/>
      <c r="G389" s="73"/>
      <c r="H389" s="286"/>
      <c r="I389" s="27"/>
      <c r="N389" s="5"/>
      <c r="O389" s="183"/>
    </row>
    <row r="390">
      <c r="E390" s="73"/>
      <c r="F390" s="285"/>
      <c r="G390" s="73"/>
      <c r="H390" s="286"/>
      <c r="I390" s="27"/>
      <c r="N390" s="5"/>
      <c r="O390" s="183"/>
    </row>
    <row r="391">
      <c r="E391" s="73"/>
      <c r="F391" s="285"/>
      <c r="G391" s="73"/>
      <c r="H391" s="286"/>
      <c r="I391" s="27"/>
      <c r="N391" s="5"/>
      <c r="O391" s="183"/>
    </row>
    <row r="392">
      <c r="E392" s="73"/>
      <c r="F392" s="285"/>
      <c r="G392" s="73"/>
      <c r="H392" s="286"/>
      <c r="I392" s="27"/>
      <c r="N392" s="5"/>
      <c r="O392" s="183"/>
    </row>
    <row r="393">
      <c r="E393" s="73"/>
      <c r="F393" s="285"/>
      <c r="G393" s="73"/>
      <c r="H393" s="286"/>
      <c r="I393" s="27"/>
      <c r="N393" s="5"/>
      <c r="O393" s="183"/>
    </row>
    <row r="394">
      <c r="E394" s="73"/>
      <c r="F394" s="285"/>
      <c r="G394" s="73"/>
      <c r="H394" s="286"/>
      <c r="I394" s="27"/>
      <c r="N394" s="5"/>
      <c r="O394" s="183"/>
    </row>
    <row r="395">
      <c r="E395" s="73"/>
      <c r="F395" s="285"/>
      <c r="G395" s="73"/>
      <c r="H395" s="286"/>
      <c r="I395" s="27"/>
      <c r="N395" s="5"/>
      <c r="O395" s="183"/>
    </row>
    <row r="396">
      <c r="E396" s="73"/>
      <c r="F396" s="285"/>
      <c r="G396" s="73"/>
      <c r="H396" s="286"/>
      <c r="I396" s="27"/>
      <c r="N396" s="5"/>
      <c r="O396" s="183"/>
    </row>
    <row r="397">
      <c r="E397" s="73"/>
      <c r="F397" s="285"/>
      <c r="G397" s="73"/>
      <c r="H397" s="286"/>
      <c r="I397" s="27"/>
      <c r="N397" s="5"/>
      <c r="O397" s="183"/>
    </row>
    <row r="398">
      <c r="E398" s="73"/>
      <c r="F398" s="285"/>
      <c r="G398" s="73"/>
      <c r="H398" s="286"/>
      <c r="I398" s="27"/>
      <c r="N398" s="5"/>
      <c r="O398" s="183"/>
    </row>
    <row r="399">
      <c r="E399" s="73"/>
      <c r="F399" s="285"/>
      <c r="G399" s="73"/>
      <c r="H399" s="286"/>
      <c r="I399" s="27"/>
      <c r="N399" s="5"/>
      <c r="O399" s="183"/>
    </row>
    <row r="400">
      <c r="E400" s="73"/>
      <c r="F400" s="285"/>
      <c r="G400" s="73"/>
      <c r="H400" s="286"/>
      <c r="I400" s="27"/>
      <c r="N400" s="5"/>
      <c r="O400" s="183"/>
    </row>
    <row r="401">
      <c r="E401" s="73"/>
      <c r="F401" s="285"/>
      <c r="G401" s="73"/>
      <c r="H401" s="286"/>
      <c r="I401" s="27"/>
      <c r="N401" s="5"/>
      <c r="O401" s="183"/>
    </row>
    <row r="402">
      <c r="E402" s="73"/>
      <c r="F402" s="285"/>
      <c r="G402" s="73"/>
      <c r="H402" s="286"/>
      <c r="I402" s="27"/>
      <c r="N402" s="5"/>
      <c r="O402" s="183"/>
    </row>
    <row r="403">
      <c r="E403" s="73"/>
      <c r="F403" s="285"/>
      <c r="G403" s="73"/>
      <c r="H403" s="286"/>
      <c r="I403" s="27"/>
      <c r="N403" s="5"/>
      <c r="O403" s="183"/>
    </row>
    <row r="404">
      <c r="E404" s="73"/>
      <c r="F404" s="285"/>
      <c r="G404" s="73"/>
      <c r="H404" s="286"/>
      <c r="I404" s="27"/>
      <c r="N404" s="5"/>
      <c r="O404" s="183"/>
    </row>
    <row r="405">
      <c r="E405" s="73"/>
      <c r="F405" s="285"/>
      <c r="G405" s="73"/>
      <c r="H405" s="286"/>
      <c r="I405" s="27"/>
      <c r="N405" s="5"/>
      <c r="O405" s="183"/>
    </row>
    <row r="406">
      <c r="E406" s="73"/>
      <c r="F406" s="285"/>
      <c r="G406" s="73"/>
      <c r="H406" s="286"/>
      <c r="I406" s="27"/>
      <c r="N406" s="5"/>
      <c r="O406" s="183"/>
    </row>
    <row r="407">
      <c r="E407" s="73"/>
      <c r="F407" s="285"/>
      <c r="G407" s="73"/>
      <c r="H407" s="286"/>
      <c r="I407" s="27"/>
      <c r="N407" s="5"/>
      <c r="O407" s="183"/>
    </row>
    <row r="408">
      <c r="E408" s="73"/>
      <c r="F408" s="285"/>
      <c r="G408" s="73"/>
      <c r="H408" s="286"/>
      <c r="I408" s="27"/>
      <c r="N408" s="5"/>
      <c r="O408" s="183"/>
    </row>
    <row r="409">
      <c r="E409" s="73"/>
      <c r="F409" s="285"/>
      <c r="G409" s="73"/>
      <c r="H409" s="286"/>
      <c r="I409" s="27"/>
      <c r="N409" s="5"/>
      <c r="O409" s="183"/>
    </row>
    <row r="410">
      <c r="E410" s="73"/>
      <c r="F410" s="285"/>
      <c r="G410" s="73"/>
      <c r="H410" s="286"/>
      <c r="I410" s="27"/>
      <c r="N410" s="5"/>
      <c r="O410" s="183"/>
    </row>
    <row r="411">
      <c r="E411" s="73"/>
      <c r="F411" s="285"/>
      <c r="G411" s="73"/>
      <c r="H411" s="286"/>
      <c r="I411" s="27"/>
      <c r="N411" s="5"/>
      <c r="O411" s="183"/>
    </row>
    <row r="412">
      <c r="E412" s="73"/>
      <c r="F412" s="285"/>
      <c r="G412" s="73"/>
      <c r="H412" s="286"/>
      <c r="I412" s="27"/>
      <c r="N412" s="5"/>
      <c r="O412" s="183"/>
    </row>
    <row r="413">
      <c r="E413" s="73"/>
      <c r="F413" s="285"/>
      <c r="G413" s="73"/>
      <c r="H413" s="286"/>
      <c r="I413" s="27"/>
      <c r="N413" s="5"/>
      <c r="O413" s="183"/>
    </row>
    <row r="414">
      <c r="E414" s="73"/>
      <c r="F414" s="285"/>
      <c r="G414" s="73"/>
      <c r="H414" s="286"/>
      <c r="I414" s="27"/>
      <c r="N414" s="5"/>
      <c r="O414" s="183"/>
    </row>
    <row r="415">
      <c r="E415" s="73"/>
      <c r="F415" s="285"/>
      <c r="G415" s="73"/>
      <c r="H415" s="286"/>
      <c r="I415" s="27"/>
      <c r="N415" s="5"/>
      <c r="O415" s="183"/>
    </row>
    <row r="416">
      <c r="E416" s="73"/>
      <c r="F416" s="285"/>
      <c r="G416" s="73"/>
      <c r="H416" s="286"/>
      <c r="I416" s="27"/>
      <c r="N416" s="5"/>
      <c r="O416" s="183"/>
    </row>
    <row r="417">
      <c r="E417" s="73"/>
      <c r="F417" s="285"/>
      <c r="G417" s="73"/>
      <c r="H417" s="286"/>
      <c r="I417" s="27"/>
      <c r="N417" s="5"/>
      <c r="O417" s="183"/>
    </row>
    <row r="418">
      <c r="E418" s="73"/>
      <c r="F418" s="285"/>
      <c r="G418" s="73"/>
      <c r="H418" s="286"/>
      <c r="I418" s="27"/>
      <c r="N418" s="5"/>
      <c r="O418" s="183"/>
    </row>
    <row r="419">
      <c r="E419" s="73"/>
      <c r="F419" s="285"/>
      <c r="G419" s="73"/>
      <c r="H419" s="286"/>
      <c r="I419" s="27"/>
      <c r="N419" s="5"/>
      <c r="O419" s="183"/>
    </row>
    <row r="420">
      <c r="E420" s="73"/>
      <c r="F420" s="285"/>
      <c r="G420" s="73"/>
      <c r="H420" s="286"/>
      <c r="I420" s="27"/>
      <c r="N420" s="5"/>
      <c r="O420" s="183"/>
    </row>
    <row r="421">
      <c r="E421" s="73"/>
      <c r="F421" s="285"/>
      <c r="G421" s="73"/>
      <c r="H421" s="286"/>
      <c r="I421" s="27"/>
      <c r="N421" s="5"/>
      <c r="O421" s="183"/>
    </row>
    <row r="422">
      <c r="E422" s="73"/>
      <c r="F422" s="285"/>
      <c r="G422" s="73"/>
      <c r="H422" s="286"/>
      <c r="I422" s="27"/>
      <c r="N422" s="5"/>
      <c r="O422" s="183"/>
    </row>
    <row r="423">
      <c r="E423" s="73"/>
      <c r="F423" s="285"/>
      <c r="G423" s="73"/>
      <c r="H423" s="286"/>
      <c r="I423" s="27"/>
      <c r="N423" s="5"/>
      <c r="O423" s="183"/>
    </row>
    <row r="424">
      <c r="E424" s="73"/>
      <c r="F424" s="285"/>
      <c r="G424" s="73"/>
      <c r="H424" s="286"/>
      <c r="I424" s="27"/>
      <c r="N424" s="5"/>
      <c r="O424" s="183"/>
    </row>
    <row r="425">
      <c r="E425" s="73"/>
      <c r="F425" s="285"/>
      <c r="G425" s="73"/>
      <c r="H425" s="286"/>
      <c r="I425" s="27"/>
      <c r="N425" s="5"/>
      <c r="O425" s="183"/>
    </row>
    <row r="426">
      <c r="E426" s="73"/>
      <c r="F426" s="285"/>
      <c r="G426" s="73"/>
      <c r="H426" s="286"/>
      <c r="I426" s="27"/>
      <c r="N426" s="5"/>
      <c r="O426" s="183"/>
    </row>
    <row r="427">
      <c r="E427" s="73"/>
      <c r="F427" s="285"/>
      <c r="G427" s="73"/>
      <c r="H427" s="286"/>
      <c r="I427" s="27"/>
      <c r="N427" s="5"/>
      <c r="O427" s="183"/>
    </row>
    <row r="428">
      <c r="E428" s="73"/>
      <c r="F428" s="285"/>
      <c r="G428" s="73"/>
      <c r="H428" s="286"/>
      <c r="I428" s="27"/>
      <c r="N428" s="5"/>
      <c r="O428" s="183"/>
    </row>
    <row r="429">
      <c r="E429" s="73"/>
      <c r="F429" s="285"/>
      <c r="G429" s="73"/>
      <c r="H429" s="286"/>
      <c r="I429" s="27"/>
      <c r="N429" s="5"/>
      <c r="O429" s="183"/>
    </row>
    <row r="430">
      <c r="E430" s="73"/>
      <c r="F430" s="285"/>
      <c r="G430" s="73"/>
      <c r="H430" s="286"/>
      <c r="I430" s="27"/>
      <c r="N430" s="5"/>
      <c r="O430" s="183"/>
    </row>
    <row r="431">
      <c r="E431" s="73"/>
      <c r="F431" s="285"/>
      <c r="G431" s="73"/>
      <c r="H431" s="286"/>
      <c r="I431" s="27"/>
      <c r="N431" s="5"/>
      <c r="O431" s="183"/>
    </row>
    <row r="432">
      <c r="E432" s="73"/>
      <c r="F432" s="285"/>
      <c r="G432" s="73"/>
      <c r="H432" s="286"/>
      <c r="I432" s="27"/>
      <c r="N432" s="5"/>
      <c r="O432" s="183"/>
    </row>
    <row r="433">
      <c r="E433" s="73"/>
      <c r="F433" s="285"/>
      <c r="G433" s="73"/>
      <c r="H433" s="286"/>
      <c r="I433" s="27"/>
      <c r="N433" s="5"/>
      <c r="O433" s="183"/>
    </row>
    <row r="434">
      <c r="E434" s="73"/>
      <c r="F434" s="285"/>
      <c r="G434" s="73"/>
      <c r="H434" s="286"/>
      <c r="I434" s="27"/>
      <c r="N434" s="5"/>
      <c r="O434" s="183"/>
    </row>
    <row r="435">
      <c r="E435" s="73"/>
      <c r="F435" s="285"/>
      <c r="G435" s="73"/>
      <c r="H435" s="286"/>
      <c r="I435" s="27"/>
      <c r="N435" s="5"/>
      <c r="O435" s="183"/>
    </row>
    <row r="436">
      <c r="E436" s="73"/>
      <c r="F436" s="285"/>
      <c r="G436" s="73"/>
      <c r="H436" s="286"/>
      <c r="I436" s="27"/>
      <c r="N436" s="5"/>
      <c r="O436" s="183"/>
    </row>
    <row r="437">
      <c r="E437" s="73"/>
      <c r="F437" s="285"/>
      <c r="G437" s="73"/>
      <c r="H437" s="286"/>
      <c r="I437" s="27"/>
      <c r="N437" s="5"/>
      <c r="O437" s="183"/>
    </row>
    <row r="438">
      <c r="E438" s="73"/>
      <c r="F438" s="285"/>
      <c r="G438" s="73"/>
      <c r="H438" s="286"/>
      <c r="I438" s="27"/>
      <c r="N438" s="5"/>
      <c r="O438" s="183"/>
    </row>
    <row r="439">
      <c r="E439" s="73"/>
      <c r="F439" s="285"/>
      <c r="G439" s="73"/>
      <c r="H439" s="286"/>
      <c r="I439" s="27"/>
      <c r="N439" s="5"/>
      <c r="O439" s="183"/>
    </row>
    <row r="440">
      <c r="E440" s="73"/>
      <c r="F440" s="285"/>
      <c r="G440" s="73"/>
      <c r="H440" s="286"/>
      <c r="I440" s="27"/>
      <c r="N440" s="5"/>
      <c r="O440" s="183"/>
    </row>
    <row r="441">
      <c r="E441" s="73"/>
      <c r="F441" s="285"/>
      <c r="G441" s="73"/>
      <c r="H441" s="286"/>
      <c r="I441" s="27"/>
      <c r="N441" s="5"/>
      <c r="O441" s="183"/>
    </row>
    <row r="442">
      <c r="E442" s="73"/>
      <c r="F442" s="285"/>
      <c r="G442" s="73"/>
      <c r="H442" s="286"/>
      <c r="I442" s="27"/>
      <c r="N442" s="5"/>
      <c r="O442" s="183"/>
    </row>
    <row r="443">
      <c r="E443" s="73"/>
      <c r="F443" s="285"/>
      <c r="G443" s="73"/>
      <c r="H443" s="286"/>
      <c r="I443" s="27"/>
      <c r="N443" s="5"/>
      <c r="O443" s="183"/>
    </row>
    <row r="444">
      <c r="E444" s="73"/>
      <c r="F444" s="285"/>
      <c r="G444" s="73"/>
      <c r="H444" s="286"/>
      <c r="I444" s="27"/>
      <c r="N444" s="5"/>
      <c r="O444" s="183"/>
    </row>
    <row r="445">
      <c r="E445" s="73"/>
      <c r="F445" s="285"/>
      <c r="G445" s="73"/>
      <c r="H445" s="286"/>
      <c r="I445" s="27"/>
      <c r="N445" s="5"/>
      <c r="O445" s="183"/>
    </row>
    <row r="446">
      <c r="E446" s="73"/>
      <c r="F446" s="285"/>
      <c r="G446" s="73"/>
      <c r="H446" s="286"/>
      <c r="I446" s="27"/>
      <c r="N446" s="5"/>
      <c r="O446" s="183"/>
    </row>
    <row r="447">
      <c r="E447" s="73"/>
      <c r="F447" s="285"/>
      <c r="G447" s="73"/>
      <c r="H447" s="286"/>
      <c r="I447" s="27"/>
      <c r="N447" s="5"/>
      <c r="O447" s="183"/>
    </row>
    <row r="448">
      <c r="E448" s="73"/>
      <c r="F448" s="285"/>
      <c r="G448" s="73"/>
      <c r="H448" s="286"/>
      <c r="I448" s="27"/>
      <c r="N448" s="5"/>
      <c r="O448" s="183"/>
    </row>
    <row r="449">
      <c r="E449" s="73"/>
      <c r="F449" s="285"/>
      <c r="G449" s="73"/>
      <c r="H449" s="286"/>
      <c r="I449" s="27"/>
      <c r="N449" s="5"/>
      <c r="O449" s="183"/>
    </row>
    <row r="450">
      <c r="E450" s="73"/>
      <c r="F450" s="285"/>
      <c r="G450" s="73"/>
      <c r="H450" s="286"/>
      <c r="I450" s="27"/>
      <c r="N450" s="5"/>
      <c r="O450" s="183"/>
    </row>
    <row r="451">
      <c r="E451" s="73"/>
      <c r="F451" s="285"/>
      <c r="G451" s="73"/>
      <c r="H451" s="286"/>
      <c r="I451" s="27"/>
      <c r="N451" s="5"/>
      <c r="O451" s="183"/>
    </row>
    <row r="452">
      <c r="E452" s="73"/>
      <c r="F452" s="285"/>
      <c r="G452" s="73"/>
      <c r="H452" s="286"/>
      <c r="I452" s="27"/>
      <c r="N452" s="5"/>
      <c r="O452" s="183"/>
    </row>
    <row r="453">
      <c r="E453" s="73"/>
      <c r="F453" s="285"/>
      <c r="G453" s="73"/>
      <c r="H453" s="286"/>
      <c r="I453" s="27"/>
      <c r="N453" s="5"/>
      <c r="O453" s="183"/>
    </row>
    <row r="454">
      <c r="E454" s="73"/>
      <c r="F454" s="285"/>
      <c r="G454" s="73"/>
      <c r="H454" s="286"/>
      <c r="I454" s="27"/>
      <c r="N454" s="5"/>
      <c r="O454" s="183"/>
    </row>
    <row r="455">
      <c r="E455" s="73"/>
      <c r="F455" s="285"/>
      <c r="G455" s="73"/>
      <c r="H455" s="286"/>
      <c r="I455" s="27"/>
      <c r="N455" s="5"/>
      <c r="O455" s="183"/>
    </row>
    <row r="456">
      <c r="E456" s="73"/>
      <c r="F456" s="285"/>
      <c r="G456" s="73"/>
      <c r="H456" s="286"/>
      <c r="I456" s="27"/>
      <c r="N456" s="5"/>
      <c r="O456" s="183"/>
    </row>
    <row r="457">
      <c r="E457" s="73"/>
      <c r="F457" s="285"/>
      <c r="G457" s="73"/>
      <c r="H457" s="286"/>
      <c r="I457" s="27"/>
      <c r="N457" s="5"/>
      <c r="O457" s="183"/>
    </row>
    <row r="458">
      <c r="E458" s="73"/>
      <c r="F458" s="285"/>
      <c r="G458" s="73"/>
      <c r="H458" s="286"/>
      <c r="I458" s="27"/>
      <c r="N458" s="5"/>
      <c r="O458" s="183"/>
    </row>
    <row r="459">
      <c r="E459" s="73"/>
      <c r="F459" s="285"/>
      <c r="G459" s="73"/>
      <c r="H459" s="286"/>
      <c r="I459" s="27"/>
      <c r="N459" s="5"/>
      <c r="O459" s="183"/>
    </row>
    <row r="460">
      <c r="E460" s="73"/>
      <c r="F460" s="285"/>
      <c r="G460" s="73"/>
      <c r="H460" s="286"/>
      <c r="I460" s="27"/>
      <c r="N460" s="5"/>
      <c r="O460" s="183"/>
    </row>
    <row r="461">
      <c r="E461" s="73"/>
      <c r="F461" s="285"/>
      <c r="G461" s="73"/>
      <c r="H461" s="286"/>
      <c r="I461" s="27"/>
      <c r="N461" s="5"/>
      <c r="O461" s="183"/>
    </row>
    <row r="462">
      <c r="E462" s="73"/>
      <c r="F462" s="285"/>
      <c r="G462" s="73"/>
      <c r="H462" s="286"/>
      <c r="I462" s="27"/>
      <c r="N462" s="5"/>
      <c r="O462" s="183"/>
    </row>
    <row r="463">
      <c r="E463" s="73"/>
      <c r="F463" s="285"/>
      <c r="G463" s="73"/>
      <c r="H463" s="286"/>
      <c r="I463" s="27"/>
      <c r="N463" s="5"/>
      <c r="O463" s="183"/>
    </row>
    <row r="464">
      <c r="E464" s="73"/>
      <c r="F464" s="285"/>
      <c r="G464" s="73"/>
      <c r="H464" s="286"/>
      <c r="I464" s="27"/>
      <c r="N464" s="5"/>
      <c r="O464" s="183"/>
    </row>
    <row r="465">
      <c r="E465" s="73"/>
      <c r="F465" s="285"/>
      <c r="G465" s="73"/>
      <c r="H465" s="286"/>
      <c r="I465" s="27"/>
      <c r="N465" s="5"/>
      <c r="O465" s="183"/>
    </row>
    <row r="466">
      <c r="E466" s="73"/>
      <c r="F466" s="285"/>
      <c r="G466" s="73"/>
      <c r="H466" s="286"/>
      <c r="I466" s="27"/>
      <c r="N466" s="5"/>
      <c r="O466" s="183"/>
    </row>
    <row r="467">
      <c r="E467" s="73"/>
      <c r="F467" s="285"/>
      <c r="G467" s="73"/>
      <c r="H467" s="286"/>
      <c r="I467" s="27"/>
      <c r="N467" s="5"/>
      <c r="O467" s="183"/>
    </row>
    <row r="468">
      <c r="E468" s="73"/>
      <c r="F468" s="285"/>
      <c r="G468" s="73"/>
      <c r="H468" s="286"/>
      <c r="I468" s="27"/>
      <c r="N468" s="5"/>
      <c r="O468" s="183"/>
    </row>
    <row r="469">
      <c r="E469" s="73"/>
      <c r="F469" s="285"/>
      <c r="G469" s="73"/>
      <c r="H469" s="286"/>
      <c r="I469" s="27"/>
      <c r="N469" s="5"/>
      <c r="O469" s="183"/>
    </row>
    <row r="470">
      <c r="E470" s="73"/>
      <c r="F470" s="285"/>
      <c r="G470" s="73"/>
      <c r="H470" s="286"/>
      <c r="I470" s="27"/>
      <c r="N470" s="5"/>
      <c r="O470" s="183"/>
    </row>
    <row r="471">
      <c r="E471" s="73"/>
      <c r="F471" s="285"/>
      <c r="G471" s="73"/>
      <c r="H471" s="286"/>
      <c r="I471" s="27"/>
      <c r="N471" s="5"/>
      <c r="O471" s="183"/>
    </row>
    <row r="472">
      <c r="E472" s="73"/>
      <c r="F472" s="285"/>
      <c r="G472" s="73"/>
      <c r="H472" s="286"/>
      <c r="I472" s="27"/>
      <c r="N472" s="5"/>
      <c r="O472" s="183"/>
    </row>
    <row r="473">
      <c r="E473" s="73"/>
      <c r="F473" s="285"/>
      <c r="G473" s="73"/>
      <c r="H473" s="286"/>
      <c r="I473" s="27"/>
      <c r="N473" s="5"/>
      <c r="O473" s="183"/>
    </row>
    <row r="474">
      <c r="E474" s="73"/>
      <c r="F474" s="285"/>
      <c r="G474" s="73"/>
      <c r="H474" s="286"/>
      <c r="I474" s="27"/>
      <c r="N474" s="5"/>
      <c r="O474" s="183"/>
    </row>
    <row r="475">
      <c r="E475" s="73"/>
      <c r="F475" s="285"/>
      <c r="G475" s="73"/>
      <c r="H475" s="286"/>
      <c r="I475" s="27"/>
      <c r="N475" s="5"/>
      <c r="O475" s="183"/>
    </row>
    <row r="476">
      <c r="E476" s="73"/>
      <c r="F476" s="285"/>
      <c r="G476" s="73"/>
      <c r="H476" s="286"/>
      <c r="I476" s="27"/>
      <c r="N476" s="5"/>
      <c r="O476" s="183"/>
    </row>
    <row r="477">
      <c r="E477" s="73"/>
      <c r="F477" s="285"/>
      <c r="G477" s="73"/>
      <c r="H477" s="286"/>
      <c r="I477" s="27"/>
      <c r="N477" s="5"/>
      <c r="O477" s="183"/>
    </row>
    <row r="478">
      <c r="E478" s="73"/>
      <c r="F478" s="285"/>
      <c r="G478" s="73"/>
      <c r="H478" s="286"/>
      <c r="I478" s="27"/>
      <c r="N478" s="5"/>
      <c r="O478" s="183"/>
    </row>
    <row r="479">
      <c r="E479" s="73"/>
      <c r="F479" s="285"/>
      <c r="G479" s="73"/>
      <c r="H479" s="286"/>
      <c r="I479" s="27"/>
      <c r="N479" s="5"/>
      <c r="O479" s="183"/>
    </row>
    <row r="480">
      <c r="E480" s="73"/>
      <c r="F480" s="285"/>
      <c r="G480" s="73"/>
      <c r="H480" s="286"/>
      <c r="I480" s="27"/>
      <c r="N480" s="5"/>
      <c r="O480" s="183"/>
    </row>
    <row r="481">
      <c r="E481" s="73"/>
      <c r="F481" s="285"/>
      <c r="G481" s="73"/>
      <c r="H481" s="286"/>
      <c r="I481" s="27"/>
      <c r="N481" s="5"/>
      <c r="O481" s="183"/>
    </row>
    <row r="482">
      <c r="E482" s="73"/>
      <c r="F482" s="285"/>
      <c r="G482" s="73"/>
      <c r="H482" s="286"/>
      <c r="I482" s="27"/>
      <c r="N482" s="5"/>
      <c r="O482" s="183"/>
    </row>
    <row r="483">
      <c r="E483" s="73"/>
      <c r="F483" s="285"/>
      <c r="G483" s="73"/>
      <c r="H483" s="286"/>
      <c r="I483" s="27"/>
      <c r="N483" s="5"/>
      <c r="O483" s="183"/>
    </row>
    <row r="484">
      <c r="E484" s="73"/>
      <c r="F484" s="285"/>
      <c r="G484" s="73"/>
      <c r="H484" s="286"/>
      <c r="I484" s="27"/>
      <c r="N484" s="5"/>
      <c r="O484" s="183"/>
    </row>
    <row r="485">
      <c r="E485" s="73"/>
      <c r="F485" s="285"/>
      <c r="G485" s="73"/>
      <c r="H485" s="286"/>
      <c r="I485" s="27"/>
      <c r="N485" s="5"/>
      <c r="O485" s="183"/>
    </row>
    <row r="486">
      <c r="E486" s="73"/>
      <c r="F486" s="285"/>
      <c r="G486" s="73"/>
      <c r="H486" s="286"/>
      <c r="I486" s="27"/>
      <c r="N486" s="5"/>
      <c r="O486" s="183"/>
    </row>
    <row r="487">
      <c r="E487" s="73"/>
      <c r="F487" s="285"/>
      <c r="G487" s="73"/>
      <c r="H487" s="286"/>
      <c r="I487" s="27"/>
      <c r="N487" s="5"/>
      <c r="O487" s="183"/>
    </row>
    <row r="488">
      <c r="E488" s="73"/>
      <c r="F488" s="285"/>
      <c r="G488" s="73"/>
      <c r="H488" s="286"/>
      <c r="I488" s="27"/>
      <c r="N488" s="5"/>
      <c r="O488" s="183"/>
    </row>
    <row r="489">
      <c r="E489" s="73"/>
      <c r="F489" s="285"/>
      <c r="G489" s="73"/>
      <c r="H489" s="286"/>
      <c r="I489" s="27"/>
      <c r="N489" s="5"/>
      <c r="O489" s="183"/>
    </row>
    <row r="490">
      <c r="E490" s="73"/>
      <c r="F490" s="285"/>
      <c r="G490" s="73"/>
      <c r="H490" s="286"/>
      <c r="I490" s="27"/>
      <c r="N490" s="5"/>
      <c r="O490" s="183"/>
    </row>
    <row r="491">
      <c r="E491" s="73"/>
      <c r="F491" s="285"/>
      <c r="G491" s="73"/>
      <c r="H491" s="286"/>
      <c r="I491" s="27"/>
      <c r="N491" s="5"/>
      <c r="O491" s="183"/>
    </row>
    <row r="492">
      <c r="E492" s="73"/>
      <c r="F492" s="285"/>
      <c r="G492" s="73"/>
      <c r="H492" s="286"/>
      <c r="I492" s="27"/>
      <c r="N492" s="5"/>
      <c r="O492" s="183"/>
    </row>
    <row r="493">
      <c r="E493" s="73"/>
      <c r="F493" s="285"/>
      <c r="G493" s="73"/>
      <c r="H493" s="286"/>
      <c r="I493" s="27"/>
      <c r="N493" s="5"/>
      <c r="O493" s="183"/>
    </row>
    <row r="494">
      <c r="E494" s="73"/>
      <c r="F494" s="285"/>
      <c r="G494" s="73"/>
      <c r="H494" s="286"/>
      <c r="I494" s="27"/>
      <c r="N494" s="5"/>
      <c r="O494" s="183"/>
    </row>
    <row r="495">
      <c r="E495" s="73"/>
      <c r="F495" s="285"/>
      <c r="G495" s="73"/>
      <c r="H495" s="286"/>
      <c r="I495" s="27"/>
      <c r="N495" s="5"/>
      <c r="O495" s="183"/>
    </row>
    <row r="496">
      <c r="E496" s="73"/>
      <c r="F496" s="285"/>
      <c r="G496" s="73"/>
      <c r="H496" s="286"/>
      <c r="I496" s="27"/>
      <c r="N496" s="5"/>
      <c r="O496" s="183"/>
    </row>
    <row r="497">
      <c r="E497" s="73"/>
      <c r="F497" s="285"/>
      <c r="G497" s="73"/>
      <c r="H497" s="286"/>
      <c r="I497" s="27"/>
      <c r="N497" s="5"/>
      <c r="O497" s="183"/>
    </row>
    <row r="498">
      <c r="E498" s="73"/>
      <c r="F498" s="285"/>
      <c r="G498" s="73"/>
      <c r="H498" s="286"/>
      <c r="I498" s="27"/>
      <c r="N498" s="5"/>
      <c r="O498" s="183"/>
    </row>
    <row r="499">
      <c r="E499" s="73"/>
      <c r="F499" s="285"/>
      <c r="G499" s="73"/>
      <c r="H499" s="286"/>
      <c r="I499" s="27"/>
      <c r="N499" s="5"/>
      <c r="O499" s="183"/>
    </row>
    <row r="500">
      <c r="E500" s="73"/>
      <c r="F500" s="285"/>
      <c r="G500" s="73"/>
      <c r="H500" s="286"/>
      <c r="I500" s="27"/>
      <c r="N500" s="5"/>
      <c r="O500" s="183"/>
    </row>
    <row r="501">
      <c r="E501" s="73"/>
      <c r="F501" s="285"/>
      <c r="G501" s="73"/>
      <c r="H501" s="286"/>
      <c r="I501" s="27"/>
      <c r="N501" s="5"/>
      <c r="O501" s="183"/>
    </row>
    <row r="502">
      <c r="E502" s="73"/>
      <c r="F502" s="285"/>
      <c r="G502" s="73"/>
      <c r="H502" s="286"/>
      <c r="I502" s="27"/>
      <c r="N502" s="5"/>
      <c r="O502" s="183"/>
    </row>
    <row r="503">
      <c r="E503" s="73"/>
      <c r="F503" s="285"/>
      <c r="G503" s="73"/>
      <c r="H503" s="286"/>
      <c r="I503" s="27"/>
      <c r="N503" s="5"/>
      <c r="O503" s="183"/>
    </row>
    <row r="504">
      <c r="E504" s="73"/>
      <c r="F504" s="285"/>
      <c r="G504" s="73"/>
      <c r="H504" s="286"/>
      <c r="I504" s="27"/>
      <c r="N504" s="5"/>
      <c r="O504" s="183"/>
    </row>
    <row r="505">
      <c r="E505" s="73"/>
      <c r="F505" s="285"/>
      <c r="G505" s="73"/>
      <c r="H505" s="286"/>
      <c r="I505" s="27"/>
      <c r="N505" s="5"/>
      <c r="O505" s="183"/>
    </row>
    <row r="506">
      <c r="E506" s="73"/>
      <c r="F506" s="285"/>
      <c r="G506" s="73"/>
      <c r="H506" s="286"/>
      <c r="I506" s="27"/>
      <c r="N506" s="5"/>
      <c r="O506" s="183"/>
    </row>
    <row r="507">
      <c r="E507" s="73"/>
      <c r="F507" s="285"/>
      <c r="G507" s="73"/>
      <c r="H507" s="286"/>
      <c r="I507" s="27"/>
      <c r="N507" s="5"/>
      <c r="O507" s="183"/>
    </row>
    <row r="508">
      <c r="E508" s="73"/>
      <c r="F508" s="285"/>
      <c r="G508" s="73"/>
      <c r="H508" s="286"/>
      <c r="I508" s="27"/>
      <c r="N508" s="5"/>
      <c r="O508" s="183"/>
    </row>
    <row r="509">
      <c r="E509" s="73"/>
      <c r="F509" s="285"/>
      <c r="G509" s="73"/>
      <c r="H509" s="286"/>
      <c r="I509" s="27"/>
      <c r="N509" s="5"/>
      <c r="O509" s="183"/>
    </row>
    <row r="510">
      <c r="E510" s="73"/>
      <c r="F510" s="285"/>
      <c r="G510" s="73"/>
      <c r="H510" s="286"/>
      <c r="I510" s="27"/>
      <c r="N510" s="5"/>
      <c r="O510" s="183"/>
    </row>
    <row r="511">
      <c r="E511" s="73"/>
      <c r="F511" s="285"/>
      <c r="G511" s="73"/>
      <c r="H511" s="286"/>
      <c r="I511" s="27"/>
      <c r="N511" s="5"/>
      <c r="O511" s="183"/>
    </row>
    <row r="512">
      <c r="E512" s="73"/>
      <c r="F512" s="285"/>
      <c r="G512" s="73"/>
      <c r="H512" s="286"/>
      <c r="I512" s="27"/>
      <c r="N512" s="5"/>
      <c r="O512" s="183"/>
    </row>
    <row r="513">
      <c r="E513" s="73"/>
      <c r="F513" s="285"/>
      <c r="G513" s="73"/>
      <c r="H513" s="286"/>
      <c r="I513" s="27"/>
      <c r="N513" s="5"/>
      <c r="O513" s="183"/>
    </row>
    <row r="514">
      <c r="E514" s="73"/>
      <c r="F514" s="285"/>
      <c r="G514" s="73"/>
      <c r="H514" s="286"/>
      <c r="I514" s="27"/>
      <c r="N514" s="5"/>
      <c r="O514" s="183"/>
    </row>
    <row r="515">
      <c r="E515" s="73"/>
      <c r="F515" s="285"/>
      <c r="G515" s="73"/>
      <c r="H515" s="286"/>
      <c r="I515" s="27"/>
      <c r="N515" s="5"/>
      <c r="O515" s="183"/>
    </row>
    <row r="516">
      <c r="E516" s="73"/>
      <c r="F516" s="285"/>
      <c r="G516" s="73"/>
      <c r="H516" s="286"/>
      <c r="I516" s="27"/>
      <c r="N516" s="5"/>
      <c r="O516" s="183"/>
    </row>
    <row r="517">
      <c r="E517" s="73"/>
      <c r="F517" s="285"/>
      <c r="G517" s="73"/>
      <c r="H517" s="286"/>
      <c r="I517" s="27"/>
      <c r="N517" s="5"/>
      <c r="O517" s="183"/>
    </row>
    <row r="518">
      <c r="E518" s="73"/>
      <c r="F518" s="285"/>
      <c r="G518" s="73"/>
      <c r="H518" s="286"/>
      <c r="I518" s="27"/>
      <c r="N518" s="5"/>
      <c r="O518" s="183"/>
    </row>
    <row r="519">
      <c r="E519" s="73"/>
      <c r="F519" s="285"/>
      <c r="G519" s="73"/>
      <c r="H519" s="286"/>
      <c r="I519" s="27"/>
      <c r="N519" s="5"/>
      <c r="O519" s="183"/>
    </row>
    <row r="520">
      <c r="E520" s="73"/>
      <c r="F520" s="285"/>
      <c r="G520" s="73"/>
      <c r="H520" s="286"/>
      <c r="I520" s="27"/>
      <c r="N520" s="5"/>
      <c r="O520" s="183"/>
    </row>
    <row r="521">
      <c r="E521" s="73"/>
      <c r="F521" s="285"/>
      <c r="G521" s="73"/>
      <c r="H521" s="286"/>
      <c r="I521" s="27"/>
      <c r="N521" s="5"/>
      <c r="O521" s="183"/>
    </row>
    <row r="522">
      <c r="E522" s="73"/>
      <c r="F522" s="285"/>
      <c r="G522" s="73"/>
      <c r="H522" s="286"/>
      <c r="I522" s="27"/>
      <c r="N522" s="5"/>
      <c r="O522" s="183"/>
    </row>
    <row r="523">
      <c r="E523" s="73"/>
      <c r="F523" s="285"/>
      <c r="G523" s="73"/>
      <c r="H523" s="286"/>
      <c r="I523" s="27"/>
      <c r="N523" s="5"/>
      <c r="O523" s="183"/>
    </row>
    <row r="524">
      <c r="E524" s="73"/>
      <c r="F524" s="285"/>
      <c r="G524" s="73"/>
      <c r="H524" s="286"/>
      <c r="I524" s="27"/>
      <c r="N524" s="5"/>
      <c r="O524" s="183"/>
    </row>
    <row r="525">
      <c r="E525" s="73"/>
      <c r="F525" s="285"/>
      <c r="G525" s="73"/>
      <c r="H525" s="286"/>
      <c r="I525" s="27"/>
      <c r="N525" s="5"/>
      <c r="O525" s="183"/>
    </row>
    <row r="526">
      <c r="E526" s="73"/>
      <c r="F526" s="285"/>
      <c r="G526" s="73"/>
      <c r="H526" s="286"/>
      <c r="I526" s="27"/>
      <c r="N526" s="5"/>
      <c r="O526" s="183"/>
    </row>
    <row r="527">
      <c r="E527" s="73"/>
      <c r="F527" s="285"/>
      <c r="G527" s="73"/>
      <c r="H527" s="286"/>
      <c r="I527" s="27"/>
      <c r="N527" s="5"/>
      <c r="O527" s="183"/>
    </row>
    <row r="528">
      <c r="E528" s="73"/>
      <c r="F528" s="285"/>
      <c r="G528" s="73"/>
      <c r="H528" s="286"/>
      <c r="I528" s="27"/>
      <c r="N528" s="5"/>
      <c r="O528" s="183"/>
    </row>
    <row r="529">
      <c r="E529" s="73"/>
      <c r="F529" s="285"/>
      <c r="G529" s="73"/>
      <c r="H529" s="286"/>
      <c r="I529" s="27"/>
      <c r="N529" s="5"/>
      <c r="O529" s="183"/>
    </row>
    <row r="530">
      <c r="E530" s="73"/>
      <c r="F530" s="285"/>
      <c r="G530" s="73"/>
      <c r="H530" s="286"/>
      <c r="I530" s="27"/>
      <c r="N530" s="5"/>
      <c r="O530" s="183"/>
    </row>
    <row r="531">
      <c r="E531" s="73"/>
      <c r="F531" s="285"/>
      <c r="G531" s="73"/>
      <c r="H531" s="286"/>
      <c r="I531" s="27"/>
      <c r="N531" s="5"/>
      <c r="O531" s="183"/>
    </row>
    <row r="532">
      <c r="E532" s="73"/>
      <c r="F532" s="285"/>
      <c r="G532" s="73"/>
      <c r="H532" s="286"/>
      <c r="I532" s="27"/>
      <c r="N532" s="5"/>
      <c r="O532" s="183"/>
    </row>
    <row r="533">
      <c r="E533" s="73"/>
      <c r="F533" s="285"/>
      <c r="G533" s="73"/>
      <c r="H533" s="286"/>
      <c r="I533" s="27"/>
      <c r="N533" s="5"/>
      <c r="O533" s="183"/>
    </row>
    <row r="534">
      <c r="E534" s="73"/>
      <c r="F534" s="285"/>
      <c r="G534" s="73"/>
      <c r="H534" s="286"/>
      <c r="I534" s="27"/>
      <c r="N534" s="5"/>
      <c r="O534" s="183"/>
    </row>
    <row r="535">
      <c r="E535" s="73"/>
      <c r="F535" s="285"/>
      <c r="G535" s="73"/>
      <c r="H535" s="286"/>
      <c r="I535" s="27"/>
      <c r="N535" s="5"/>
      <c r="O535" s="183"/>
    </row>
    <row r="536">
      <c r="E536" s="73"/>
      <c r="F536" s="285"/>
      <c r="G536" s="73"/>
      <c r="H536" s="286"/>
      <c r="I536" s="27"/>
      <c r="N536" s="5"/>
      <c r="O536" s="183"/>
    </row>
    <row r="537">
      <c r="E537" s="73"/>
      <c r="F537" s="285"/>
      <c r="G537" s="73"/>
      <c r="H537" s="286"/>
      <c r="I537" s="27"/>
      <c r="N537" s="5"/>
      <c r="O537" s="183"/>
    </row>
    <row r="538">
      <c r="E538" s="73"/>
      <c r="F538" s="285"/>
      <c r="G538" s="73"/>
      <c r="H538" s="286"/>
      <c r="I538" s="27"/>
      <c r="N538" s="5"/>
      <c r="O538" s="183"/>
    </row>
    <row r="539">
      <c r="E539" s="73"/>
      <c r="F539" s="285"/>
      <c r="G539" s="73"/>
      <c r="H539" s="286"/>
      <c r="I539" s="27"/>
      <c r="N539" s="5"/>
      <c r="O539" s="183"/>
    </row>
    <row r="540">
      <c r="E540" s="73"/>
      <c r="F540" s="285"/>
      <c r="G540" s="73"/>
      <c r="H540" s="286"/>
      <c r="I540" s="27"/>
      <c r="N540" s="5"/>
      <c r="O540" s="183"/>
    </row>
    <row r="541">
      <c r="E541" s="73"/>
      <c r="F541" s="285"/>
      <c r="G541" s="73"/>
      <c r="H541" s="286"/>
      <c r="I541" s="27"/>
      <c r="N541" s="5"/>
      <c r="O541" s="183"/>
    </row>
    <row r="542">
      <c r="E542" s="73"/>
      <c r="F542" s="285"/>
      <c r="G542" s="73"/>
      <c r="H542" s="286"/>
      <c r="I542" s="27"/>
      <c r="N542" s="5"/>
      <c r="O542" s="183"/>
    </row>
    <row r="543">
      <c r="E543" s="73"/>
      <c r="F543" s="285"/>
      <c r="G543" s="73"/>
      <c r="H543" s="286"/>
      <c r="I543" s="27"/>
      <c r="N543" s="5"/>
      <c r="O543" s="183"/>
    </row>
    <row r="544">
      <c r="E544" s="73"/>
      <c r="F544" s="285"/>
      <c r="G544" s="73"/>
      <c r="H544" s="286"/>
      <c r="I544" s="27"/>
      <c r="N544" s="5"/>
      <c r="O544" s="183"/>
    </row>
    <row r="545">
      <c r="E545" s="73"/>
      <c r="F545" s="285"/>
      <c r="G545" s="73"/>
      <c r="H545" s="286"/>
      <c r="I545" s="27"/>
      <c r="N545" s="5"/>
      <c r="O545" s="183"/>
    </row>
    <row r="546">
      <c r="E546" s="73"/>
      <c r="F546" s="285"/>
      <c r="G546" s="73"/>
      <c r="H546" s="286"/>
      <c r="I546" s="27"/>
      <c r="N546" s="5"/>
      <c r="O546" s="183"/>
    </row>
    <row r="547">
      <c r="E547" s="73"/>
      <c r="F547" s="285"/>
      <c r="G547" s="73"/>
      <c r="H547" s="286"/>
      <c r="I547" s="27"/>
      <c r="N547" s="5"/>
      <c r="O547" s="183"/>
    </row>
    <row r="548">
      <c r="E548" s="73"/>
      <c r="F548" s="285"/>
      <c r="G548" s="73"/>
      <c r="H548" s="286"/>
      <c r="I548" s="27"/>
      <c r="N548" s="5"/>
      <c r="O548" s="183"/>
    </row>
    <row r="549">
      <c r="E549" s="73"/>
      <c r="F549" s="285"/>
      <c r="G549" s="73"/>
      <c r="H549" s="286"/>
      <c r="I549" s="27"/>
      <c r="N549" s="5"/>
      <c r="O549" s="183"/>
    </row>
    <row r="550">
      <c r="E550" s="73"/>
      <c r="F550" s="285"/>
      <c r="G550" s="73"/>
      <c r="H550" s="286"/>
      <c r="I550" s="27"/>
      <c r="N550" s="5"/>
      <c r="O550" s="183"/>
    </row>
    <row r="551">
      <c r="E551" s="73"/>
      <c r="F551" s="285"/>
      <c r="G551" s="73"/>
      <c r="H551" s="286"/>
      <c r="I551" s="27"/>
      <c r="N551" s="5"/>
      <c r="O551" s="183"/>
    </row>
    <row r="552">
      <c r="E552" s="73"/>
      <c r="F552" s="285"/>
      <c r="G552" s="73"/>
      <c r="H552" s="286"/>
      <c r="I552" s="27"/>
      <c r="N552" s="5"/>
      <c r="O552" s="183"/>
    </row>
    <row r="553">
      <c r="E553" s="73"/>
      <c r="F553" s="285"/>
      <c r="G553" s="73"/>
      <c r="H553" s="286"/>
      <c r="I553" s="27"/>
      <c r="N553" s="5"/>
      <c r="O553" s="183"/>
    </row>
    <row r="554">
      <c r="E554" s="73"/>
      <c r="F554" s="285"/>
      <c r="G554" s="73"/>
      <c r="H554" s="286"/>
      <c r="I554" s="27"/>
      <c r="N554" s="5"/>
      <c r="O554" s="183"/>
    </row>
    <row r="555">
      <c r="E555" s="73"/>
      <c r="F555" s="285"/>
      <c r="G555" s="73"/>
      <c r="H555" s="286"/>
      <c r="I555" s="27"/>
      <c r="N555" s="5"/>
      <c r="O555" s="183"/>
    </row>
    <row r="556">
      <c r="E556" s="73"/>
      <c r="F556" s="285"/>
      <c r="G556" s="73"/>
      <c r="H556" s="286"/>
      <c r="I556" s="27"/>
      <c r="N556" s="5"/>
      <c r="O556" s="183"/>
    </row>
    <row r="557">
      <c r="E557" s="73"/>
      <c r="F557" s="285"/>
      <c r="G557" s="73"/>
      <c r="H557" s="286"/>
      <c r="I557" s="27"/>
      <c r="N557" s="5"/>
      <c r="O557" s="183"/>
    </row>
    <row r="558">
      <c r="E558" s="73"/>
      <c r="F558" s="285"/>
      <c r="G558" s="73"/>
      <c r="H558" s="286"/>
      <c r="I558" s="27"/>
      <c r="N558" s="5"/>
      <c r="O558" s="183"/>
    </row>
    <row r="559">
      <c r="E559" s="73"/>
      <c r="F559" s="285"/>
      <c r="G559" s="73"/>
      <c r="H559" s="286"/>
      <c r="I559" s="27"/>
      <c r="N559" s="5"/>
      <c r="O559" s="183"/>
    </row>
    <row r="560">
      <c r="E560" s="73"/>
      <c r="F560" s="285"/>
      <c r="G560" s="73"/>
      <c r="H560" s="286"/>
      <c r="I560" s="27"/>
      <c r="N560" s="5"/>
      <c r="O560" s="183"/>
    </row>
    <row r="561">
      <c r="E561" s="73"/>
      <c r="F561" s="285"/>
      <c r="G561" s="73"/>
      <c r="H561" s="286"/>
      <c r="I561" s="27"/>
      <c r="N561" s="5"/>
      <c r="O561" s="183"/>
    </row>
    <row r="562">
      <c r="E562" s="73"/>
      <c r="F562" s="285"/>
      <c r="G562" s="73"/>
      <c r="H562" s="286"/>
      <c r="I562" s="27"/>
      <c r="N562" s="5"/>
      <c r="O562" s="183"/>
    </row>
    <row r="563">
      <c r="E563" s="73"/>
      <c r="F563" s="285"/>
      <c r="G563" s="73"/>
      <c r="H563" s="286"/>
      <c r="I563" s="27"/>
      <c r="N563" s="5"/>
      <c r="O563" s="183"/>
    </row>
    <row r="564">
      <c r="E564" s="73"/>
      <c r="F564" s="285"/>
      <c r="G564" s="73"/>
      <c r="H564" s="286"/>
      <c r="I564" s="27"/>
      <c r="N564" s="5"/>
      <c r="O564" s="183"/>
    </row>
    <row r="565">
      <c r="E565" s="73"/>
      <c r="F565" s="285"/>
      <c r="G565" s="73"/>
      <c r="H565" s="286"/>
      <c r="I565" s="27"/>
      <c r="N565" s="5"/>
      <c r="O565" s="183"/>
    </row>
    <row r="566">
      <c r="E566" s="73"/>
      <c r="F566" s="285"/>
      <c r="G566" s="73"/>
      <c r="H566" s="286"/>
      <c r="I566" s="27"/>
      <c r="N566" s="5"/>
      <c r="O566" s="183"/>
    </row>
    <row r="567">
      <c r="E567" s="73"/>
      <c r="F567" s="285"/>
      <c r="G567" s="73"/>
      <c r="H567" s="286"/>
      <c r="I567" s="27"/>
      <c r="N567" s="5"/>
      <c r="O567" s="183"/>
    </row>
    <row r="568">
      <c r="E568" s="73"/>
      <c r="F568" s="285"/>
      <c r="G568" s="73"/>
      <c r="H568" s="286"/>
      <c r="I568" s="27"/>
      <c r="N568" s="5"/>
      <c r="O568" s="183"/>
    </row>
    <row r="569">
      <c r="E569" s="73"/>
      <c r="F569" s="285"/>
      <c r="G569" s="73"/>
      <c r="H569" s="286"/>
      <c r="I569" s="27"/>
      <c r="N569" s="5"/>
      <c r="O569" s="183"/>
    </row>
    <row r="570">
      <c r="E570" s="73"/>
      <c r="F570" s="285"/>
      <c r="G570" s="73"/>
      <c r="H570" s="286"/>
      <c r="I570" s="27"/>
      <c r="N570" s="5"/>
      <c r="O570" s="183"/>
    </row>
    <row r="571">
      <c r="E571" s="73"/>
      <c r="F571" s="285"/>
      <c r="G571" s="73"/>
      <c r="H571" s="286"/>
      <c r="I571" s="27"/>
      <c r="N571" s="5"/>
      <c r="O571" s="183"/>
    </row>
    <row r="572">
      <c r="E572" s="73"/>
      <c r="F572" s="285"/>
      <c r="G572" s="73"/>
      <c r="H572" s="286"/>
      <c r="I572" s="27"/>
      <c r="N572" s="5"/>
      <c r="O572" s="183"/>
    </row>
    <row r="573">
      <c r="E573" s="73"/>
      <c r="F573" s="285"/>
      <c r="G573" s="73"/>
      <c r="H573" s="286"/>
      <c r="I573" s="27"/>
      <c r="N573" s="5"/>
      <c r="O573" s="183"/>
    </row>
    <row r="574">
      <c r="E574" s="73"/>
      <c r="F574" s="285"/>
      <c r="G574" s="73"/>
      <c r="H574" s="286"/>
      <c r="I574" s="27"/>
      <c r="N574" s="5"/>
      <c r="O574" s="183"/>
    </row>
    <row r="575">
      <c r="E575" s="73"/>
      <c r="F575" s="285"/>
      <c r="G575" s="73"/>
      <c r="H575" s="286"/>
      <c r="I575" s="27"/>
      <c r="N575" s="5"/>
      <c r="O575" s="183"/>
    </row>
    <row r="576">
      <c r="E576" s="73"/>
      <c r="F576" s="285"/>
      <c r="G576" s="73"/>
      <c r="H576" s="286"/>
      <c r="I576" s="27"/>
      <c r="N576" s="5"/>
      <c r="O576" s="183"/>
    </row>
    <row r="577">
      <c r="E577" s="73"/>
      <c r="F577" s="285"/>
      <c r="G577" s="73"/>
      <c r="H577" s="286"/>
      <c r="I577" s="27"/>
      <c r="N577" s="5"/>
      <c r="O577" s="183"/>
    </row>
    <row r="578">
      <c r="E578" s="73"/>
      <c r="F578" s="285"/>
      <c r="G578" s="73"/>
      <c r="H578" s="286"/>
      <c r="I578" s="27"/>
      <c r="N578" s="5"/>
      <c r="O578" s="183"/>
    </row>
    <row r="579">
      <c r="E579" s="73"/>
      <c r="F579" s="285"/>
      <c r="G579" s="73"/>
      <c r="H579" s="286"/>
      <c r="I579" s="27"/>
      <c r="N579" s="5"/>
      <c r="O579" s="183"/>
    </row>
    <row r="580">
      <c r="E580" s="73"/>
      <c r="F580" s="285"/>
      <c r="G580" s="73"/>
      <c r="H580" s="286"/>
      <c r="I580" s="27"/>
      <c r="N580" s="5"/>
      <c r="O580" s="183"/>
    </row>
    <row r="581">
      <c r="E581" s="73"/>
      <c r="F581" s="285"/>
      <c r="G581" s="73"/>
      <c r="H581" s="286"/>
      <c r="I581" s="27"/>
      <c r="N581" s="5"/>
      <c r="O581" s="183"/>
    </row>
    <row r="582">
      <c r="E582" s="73"/>
      <c r="F582" s="285"/>
      <c r="G582" s="73"/>
      <c r="H582" s="286"/>
      <c r="I582" s="27"/>
      <c r="N582" s="5"/>
      <c r="O582" s="183"/>
    </row>
    <row r="583">
      <c r="E583" s="73"/>
      <c r="F583" s="285"/>
      <c r="G583" s="73"/>
      <c r="H583" s="286"/>
      <c r="I583" s="27"/>
      <c r="N583" s="5"/>
      <c r="O583" s="183"/>
    </row>
    <row r="584">
      <c r="E584" s="73"/>
      <c r="F584" s="285"/>
      <c r="G584" s="73"/>
      <c r="H584" s="286"/>
      <c r="I584" s="27"/>
      <c r="N584" s="5"/>
      <c r="O584" s="183"/>
    </row>
    <row r="585">
      <c r="E585" s="73"/>
      <c r="F585" s="285"/>
      <c r="G585" s="73"/>
      <c r="H585" s="286"/>
      <c r="I585" s="27"/>
      <c r="N585" s="5"/>
      <c r="O585" s="183"/>
    </row>
    <row r="586">
      <c r="E586" s="73"/>
      <c r="F586" s="285"/>
      <c r="G586" s="73"/>
      <c r="H586" s="286"/>
      <c r="I586" s="27"/>
      <c r="N586" s="5"/>
      <c r="O586" s="183"/>
    </row>
    <row r="587">
      <c r="E587" s="73"/>
      <c r="F587" s="285"/>
      <c r="G587" s="73"/>
      <c r="H587" s="286"/>
      <c r="I587" s="27"/>
      <c r="N587" s="5"/>
      <c r="O587" s="183"/>
    </row>
    <row r="588">
      <c r="E588" s="73"/>
      <c r="F588" s="285"/>
      <c r="G588" s="73"/>
      <c r="H588" s="286"/>
      <c r="I588" s="27"/>
      <c r="N588" s="5"/>
      <c r="O588" s="183"/>
    </row>
    <row r="589">
      <c r="E589" s="73"/>
      <c r="F589" s="285"/>
      <c r="G589" s="73"/>
      <c r="H589" s="286"/>
      <c r="I589" s="27"/>
      <c r="N589" s="5"/>
      <c r="O589" s="183"/>
    </row>
    <row r="590">
      <c r="E590" s="73"/>
      <c r="F590" s="285"/>
      <c r="G590" s="73"/>
      <c r="H590" s="286"/>
      <c r="I590" s="27"/>
      <c r="N590" s="5"/>
      <c r="O590" s="183"/>
    </row>
    <row r="591">
      <c r="E591" s="73"/>
      <c r="F591" s="285"/>
      <c r="G591" s="73"/>
      <c r="H591" s="286"/>
      <c r="I591" s="27"/>
      <c r="N591" s="5"/>
      <c r="O591" s="183"/>
    </row>
    <row r="592">
      <c r="E592" s="73"/>
      <c r="F592" s="285"/>
      <c r="G592" s="73"/>
      <c r="H592" s="286"/>
      <c r="I592" s="27"/>
      <c r="N592" s="5"/>
      <c r="O592" s="183"/>
    </row>
    <row r="593">
      <c r="E593" s="73"/>
      <c r="F593" s="285"/>
      <c r="G593" s="73"/>
      <c r="H593" s="286"/>
      <c r="I593" s="27"/>
      <c r="N593" s="5"/>
      <c r="O593" s="183"/>
    </row>
    <row r="594">
      <c r="E594" s="73"/>
      <c r="F594" s="285"/>
      <c r="G594" s="73"/>
      <c r="H594" s="286"/>
      <c r="I594" s="27"/>
      <c r="N594" s="5"/>
      <c r="O594" s="183"/>
    </row>
    <row r="595">
      <c r="E595" s="73"/>
      <c r="F595" s="285"/>
      <c r="G595" s="73"/>
      <c r="H595" s="286"/>
      <c r="I595" s="27"/>
      <c r="N595" s="5"/>
      <c r="O595" s="183"/>
    </row>
    <row r="596">
      <c r="E596" s="73"/>
      <c r="F596" s="285"/>
      <c r="G596" s="73"/>
      <c r="H596" s="286"/>
      <c r="I596" s="27"/>
      <c r="N596" s="5"/>
      <c r="O596" s="183"/>
    </row>
    <row r="597">
      <c r="E597" s="73"/>
      <c r="F597" s="285"/>
      <c r="G597" s="73"/>
      <c r="H597" s="286"/>
      <c r="I597" s="27"/>
      <c r="N597" s="5"/>
      <c r="O597" s="183"/>
    </row>
    <row r="598">
      <c r="E598" s="73"/>
      <c r="F598" s="285"/>
      <c r="G598" s="73"/>
      <c r="H598" s="286"/>
      <c r="I598" s="27"/>
      <c r="N598" s="5"/>
      <c r="O598" s="183"/>
    </row>
    <row r="599">
      <c r="E599" s="73"/>
      <c r="F599" s="285"/>
      <c r="G599" s="73"/>
      <c r="H599" s="286"/>
      <c r="I599" s="27"/>
      <c r="N599" s="5"/>
      <c r="O599" s="183"/>
    </row>
    <row r="600">
      <c r="E600" s="73"/>
      <c r="F600" s="285"/>
      <c r="G600" s="73"/>
      <c r="H600" s="286"/>
      <c r="I600" s="27"/>
      <c r="N600" s="5"/>
      <c r="O600" s="183"/>
    </row>
    <row r="601">
      <c r="E601" s="73"/>
      <c r="F601" s="285"/>
      <c r="G601" s="73"/>
      <c r="H601" s="286"/>
      <c r="I601" s="27"/>
      <c r="N601" s="5"/>
      <c r="O601" s="183"/>
    </row>
    <row r="602">
      <c r="E602" s="73"/>
      <c r="F602" s="285"/>
      <c r="G602" s="73"/>
      <c r="H602" s="286"/>
      <c r="I602" s="27"/>
      <c r="N602" s="5"/>
      <c r="O602" s="183"/>
    </row>
    <row r="603">
      <c r="E603" s="73"/>
      <c r="F603" s="285"/>
      <c r="G603" s="73"/>
      <c r="H603" s="286"/>
      <c r="I603" s="27"/>
      <c r="N603" s="5"/>
      <c r="O603" s="183"/>
    </row>
    <row r="604">
      <c r="E604" s="73"/>
      <c r="F604" s="285"/>
      <c r="G604" s="73"/>
      <c r="H604" s="286"/>
      <c r="I604" s="27"/>
      <c r="N604" s="5"/>
      <c r="O604" s="183"/>
    </row>
    <row r="605">
      <c r="E605" s="73"/>
      <c r="F605" s="285"/>
      <c r="G605" s="73"/>
      <c r="H605" s="286"/>
      <c r="I605" s="27"/>
      <c r="N605" s="5"/>
      <c r="O605" s="183"/>
    </row>
    <row r="606">
      <c r="E606" s="73"/>
      <c r="F606" s="285"/>
      <c r="G606" s="73"/>
      <c r="H606" s="286"/>
      <c r="I606" s="27"/>
      <c r="N606" s="5"/>
      <c r="O606" s="183"/>
    </row>
    <row r="607">
      <c r="E607" s="73"/>
      <c r="F607" s="285"/>
      <c r="G607" s="73"/>
      <c r="H607" s="286"/>
      <c r="I607" s="27"/>
      <c r="N607" s="5"/>
      <c r="O607" s="183"/>
    </row>
    <row r="608">
      <c r="E608" s="73"/>
      <c r="F608" s="285"/>
      <c r="G608" s="73"/>
      <c r="H608" s="286"/>
      <c r="I608" s="27"/>
      <c r="N608" s="5"/>
      <c r="O608" s="183"/>
    </row>
    <row r="609">
      <c r="E609" s="73"/>
      <c r="F609" s="285"/>
      <c r="G609" s="73"/>
      <c r="H609" s="286"/>
      <c r="I609" s="27"/>
      <c r="N609" s="5"/>
      <c r="O609" s="183"/>
    </row>
    <row r="610">
      <c r="E610" s="73"/>
      <c r="F610" s="285"/>
      <c r="G610" s="73"/>
      <c r="H610" s="286"/>
      <c r="I610" s="27"/>
      <c r="N610" s="5"/>
      <c r="O610" s="183"/>
    </row>
    <row r="611">
      <c r="E611" s="73"/>
      <c r="F611" s="285"/>
      <c r="G611" s="73"/>
      <c r="H611" s="286"/>
      <c r="I611" s="27"/>
      <c r="N611" s="5"/>
      <c r="O611" s="183"/>
    </row>
    <row r="612">
      <c r="E612" s="73"/>
      <c r="F612" s="285"/>
      <c r="G612" s="73"/>
      <c r="H612" s="286"/>
      <c r="I612" s="27"/>
      <c r="N612" s="5"/>
      <c r="O612" s="183"/>
    </row>
    <row r="613">
      <c r="E613" s="73"/>
      <c r="F613" s="285"/>
      <c r="G613" s="73"/>
      <c r="H613" s="286"/>
      <c r="I613" s="27"/>
      <c r="N613" s="5"/>
      <c r="O613" s="183"/>
    </row>
    <row r="614">
      <c r="E614" s="73"/>
      <c r="F614" s="285"/>
      <c r="G614" s="73"/>
      <c r="H614" s="286"/>
      <c r="I614" s="27"/>
      <c r="N614" s="5"/>
      <c r="O614" s="183"/>
    </row>
    <row r="615">
      <c r="E615" s="73"/>
      <c r="F615" s="285"/>
      <c r="G615" s="73"/>
      <c r="H615" s="286"/>
      <c r="I615" s="27"/>
      <c r="N615" s="5"/>
      <c r="O615" s="183"/>
    </row>
    <row r="616">
      <c r="E616" s="73"/>
      <c r="F616" s="285"/>
      <c r="G616" s="73"/>
      <c r="H616" s="286"/>
      <c r="I616" s="27"/>
      <c r="N616" s="5"/>
      <c r="O616" s="183"/>
    </row>
    <row r="617">
      <c r="E617" s="73"/>
      <c r="F617" s="285"/>
      <c r="G617" s="73"/>
      <c r="H617" s="286"/>
      <c r="I617" s="27"/>
      <c r="N617" s="5"/>
      <c r="O617" s="183"/>
    </row>
    <row r="618">
      <c r="E618" s="73"/>
      <c r="F618" s="285"/>
      <c r="G618" s="73"/>
      <c r="H618" s="286"/>
      <c r="I618" s="27"/>
      <c r="N618" s="5"/>
      <c r="O618" s="183"/>
    </row>
    <row r="619">
      <c r="E619" s="73"/>
      <c r="F619" s="285"/>
      <c r="G619" s="73"/>
      <c r="H619" s="286"/>
      <c r="I619" s="27"/>
      <c r="N619" s="5"/>
      <c r="O619" s="183"/>
    </row>
    <row r="620">
      <c r="E620" s="73"/>
      <c r="F620" s="285"/>
      <c r="G620" s="73"/>
      <c r="H620" s="286"/>
      <c r="I620" s="27"/>
      <c r="N620" s="5"/>
      <c r="O620" s="183"/>
    </row>
    <row r="621">
      <c r="E621" s="73"/>
      <c r="F621" s="285"/>
      <c r="G621" s="73"/>
      <c r="H621" s="286"/>
      <c r="I621" s="27"/>
      <c r="N621" s="5"/>
      <c r="O621" s="183"/>
    </row>
    <row r="622">
      <c r="E622" s="73"/>
      <c r="F622" s="285"/>
      <c r="G622" s="73"/>
      <c r="H622" s="286"/>
      <c r="I622" s="27"/>
      <c r="N622" s="5"/>
      <c r="O622" s="183"/>
    </row>
    <row r="623">
      <c r="E623" s="73"/>
      <c r="F623" s="285"/>
      <c r="G623" s="73"/>
      <c r="H623" s="286"/>
      <c r="I623" s="27"/>
      <c r="N623" s="5"/>
      <c r="O623" s="183"/>
    </row>
    <row r="624">
      <c r="E624" s="73"/>
      <c r="F624" s="285"/>
      <c r="G624" s="73"/>
      <c r="H624" s="286"/>
      <c r="I624" s="27"/>
      <c r="N624" s="5"/>
      <c r="O624" s="183"/>
    </row>
    <row r="625">
      <c r="E625" s="73"/>
      <c r="F625" s="285"/>
      <c r="G625" s="73"/>
      <c r="H625" s="286"/>
      <c r="I625" s="27"/>
      <c r="N625" s="5"/>
      <c r="O625" s="183"/>
    </row>
    <row r="626">
      <c r="E626" s="73"/>
      <c r="F626" s="285"/>
      <c r="G626" s="73"/>
      <c r="H626" s="286"/>
      <c r="I626" s="27"/>
      <c r="N626" s="5"/>
      <c r="O626" s="183"/>
    </row>
    <row r="627">
      <c r="E627" s="73"/>
      <c r="F627" s="285"/>
      <c r="G627" s="73"/>
      <c r="H627" s="286"/>
      <c r="I627" s="27"/>
      <c r="N627" s="5"/>
      <c r="O627" s="183"/>
    </row>
    <row r="628">
      <c r="E628" s="73"/>
      <c r="F628" s="285"/>
      <c r="G628" s="73"/>
      <c r="H628" s="286"/>
      <c r="I628" s="27"/>
      <c r="N628" s="5"/>
      <c r="O628" s="183"/>
    </row>
    <row r="629">
      <c r="E629" s="73"/>
      <c r="F629" s="285"/>
      <c r="G629" s="73"/>
      <c r="H629" s="286"/>
      <c r="I629" s="27"/>
      <c r="N629" s="5"/>
      <c r="O629" s="183"/>
    </row>
    <row r="630">
      <c r="E630" s="73"/>
      <c r="F630" s="285"/>
      <c r="G630" s="73"/>
      <c r="H630" s="286"/>
      <c r="I630" s="27"/>
      <c r="N630" s="5"/>
      <c r="O630" s="183"/>
    </row>
    <row r="631">
      <c r="E631" s="73"/>
      <c r="F631" s="285"/>
      <c r="G631" s="73"/>
      <c r="H631" s="286"/>
      <c r="I631" s="27"/>
      <c r="N631" s="5"/>
      <c r="O631" s="183"/>
    </row>
    <row r="632">
      <c r="E632" s="73"/>
      <c r="F632" s="285"/>
      <c r="G632" s="73"/>
      <c r="H632" s="286"/>
      <c r="I632" s="27"/>
      <c r="N632" s="5"/>
      <c r="O632" s="183"/>
    </row>
    <row r="633">
      <c r="E633" s="73"/>
      <c r="F633" s="285"/>
      <c r="G633" s="73"/>
      <c r="H633" s="286"/>
      <c r="I633" s="27"/>
      <c r="N633" s="5"/>
      <c r="O633" s="183"/>
    </row>
    <row r="634">
      <c r="E634" s="73"/>
      <c r="F634" s="285"/>
      <c r="G634" s="73"/>
      <c r="H634" s="286"/>
      <c r="I634" s="27"/>
      <c r="N634" s="5"/>
      <c r="O634" s="183"/>
    </row>
    <row r="635">
      <c r="E635" s="73"/>
      <c r="F635" s="285"/>
      <c r="G635" s="73"/>
      <c r="H635" s="286"/>
      <c r="I635" s="27"/>
      <c r="N635" s="5"/>
      <c r="O635" s="183"/>
    </row>
    <row r="636">
      <c r="E636" s="73"/>
      <c r="F636" s="285"/>
      <c r="G636" s="73"/>
      <c r="H636" s="286"/>
      <c r="I636" s="27"/>
      <c r="N636" s="5"/>
      <c r="O636" s="183"/>
    </row>
    <row r="637">
      <c r="E637" s="73"/>
      <c r="F637" s="285"/>
      <c r="G637" s="73"/>
      <c r="H637" s="286"/>
      <c r="I637" s="27"/>
      <c r="N637" s="5"/>
      <c r="O637" s="183"/>
    </row>
    <row r="638">
      <c r="E638" s="73"/>
      <c r="F638" s="285"/>
      <c r="G638" s="73"/>
      <c r="H638" s="286"/>
      <c r="I638" s="27"/>
      <c r="N638" s="5"/>
      <c r="O638" s="183"/>
    </row>
    <row r="639">
      <c r="E639" s="73"/>
      <c r="F639" s="285"/>
      <c r="G639" s="73"/>
      <c r="H639" s="286"/>
      <c r="I639" s="27"/>
      <c r="N639" s="5"/>
      <c r="O639" s="183"/>
    </row>
    <row r="640">
      <c r="E640" s="73"/>
      <c r="F640" s="285"/>
      <c r="G640" s="73"/>
      <c r="H640" s="286"/>
      <c r="I640" s="27"/>
      <c r="N640" s="5"/>
      <c r="O640" s="183"/>
    </row>
    <row r="641">
      <c r="E641" s="73"/>
      <c r="F641" s="285"/>
      <c r="G641" s="73"/>
      <c r="H641" s="286"/>
      <c r="I641" s="27"/>
      <c r="N641" s="5"/>
      <c r="O641" s="183"/>
    </row>
    <row r="642">
      <c r="E642" s="73"/>
      <c r="F642" s="285"/>
      <c r="G642" s="73"/>
      <c r="H642" s="286"/>
      <c r="I642" s="27"/>
      <c r="N642" s="5"/>
      <c r="O642" s="183"/>
    </row>
    <row r="643">
      <c r="E643" s="73"/>
      <c r="F643" s="285"/>
      <c r="G643" s="73"/>
      <c r="H643" s="286"/>
      <c r="I643" s="27"/>
      <c r="N643" s="5"/>
      <c r="O643" s="183"/>
    </row>
    <row r="644">
      <c r="E644" s="73"/>
      <c r="F644" s="285"/>
      <c r="G644" s="73"/>
      <c r="H644" s="286"/>
      <c r="I644" s="27"/>
      <c r="N644" s="5"/>
      <c r="O644" s="183"/>
    </row>
    <row r="645">
      <c r="E645" s="73"/>
      <c r="F645" s="285"/>
      <c r="G645" s="73"/>
      <c r="H645" s="286"/>
      <c r="I645" s="27"/>
      <c r="N645" s="5"/>
      <c r="O645" s="183"/>
    </row>
    <row r="646">
      <c r="E646" s="73"/>
      <c r="F646" s="285"/>
      <c r="G646" s="73"/>
      <c r="H646" s="286"/>
      <c r="I646" s="27"/>
      <c r="N646" s="5"/>
      <c r="O646" s="183"/>
    </row>
    <row r="647">
      <c r="E647" s="73"/>
      <c r="F647" s="285"/>
      <c r="G647" s="73"/>
      <c r="H647" s="286"/>
      <c r="I647" s="27"/>
      <c r="N647" s="5"/>
      <c r="O647" s="183"/>
    </row>
    <row r="648">
      <c r="E648" s="73"/>
      <c r="F648" s="285"/>
      <c r="G648" s="73"/>
      <c r="H648" s="286"/>
      <c r="I648" s="27"/>
      <c r="N648" s="5"/>
      <c r="O648" s="183"/>
    </row>
    <row r="649">
      <c r="E649" s="73"/>
      <c r="F649" s="285"/>
      <c r="G649" s="73"/>
      <c r="H649" s="286"/>
      <c r="I649" s="27"/>
      <c r="N649" s="5"/>
      <c r="O649" s="183"/>
    </row>
    <row r="650">
      <c r="E650" s="73"/>
      <c r="F650" s="285"/>
      <c r="G650" s="73"/>
      <c r="H650" s="286"/>
      <c r="I650" s="27"/>
      <c r="N650" s="5"/>
      <c r="O650" s="183"/>
    </row>
    <row r="651">
      <c r="E651" s="73"/>
      <c r="F651" s="285"/>
      <c r="G651" s="73"/>
      <c r="H651" s="286"/>
      <c r="I651" s="27"/>
      <c r="N651" s="5"/>
      <c r="O651" s="183"/>
    </row>
    <row r="652">
      <c r="E652" s="73"/>
      <c r="F652" s="285"/>
      <c r="G652" s="73"/>
      <c r="H652" s="286"/>
      <c r="I652" s="27"/>
      <c r="N652" s="5"/>
      <c r="O652" s="183"/>
    </row>
    <row r="653">
      <c r="E653" s="73"/>
      <c r="F653" s="285"/>
      <c r="G653" s="73"/>
      <c r="H653" s="286"/>
      <c r="I653" s="27"/>
      <c r="N653" s="5"/>
      <c r="O653" s="183"/>
    </row>
    <row r="654">
      <c r="E654" s="73"/>
      <c r="F654" s="285"/>
      <c r="G654" s="73"/>
      <c r="H654" s="286"/>
      <c r="I654" s="27"/>
      <c r="N654" s="5"/>
      <c r="O654" s="183"/>
    </row>
    <row r="655">
      <c r="E655" s="73"/>
      <c r="F655" s="285"/>
      <c r="G655" s="73"/>
      <c r="H655" s="286"/>
      <c r="I655" s="27"/>
      <c r="N655" s="5"/>
      <c r="O655" s="183"/>
    </row>
    <row r="656">
      <c r="E656" s="73"/>
      <c r="F656" s="285"/>
      <c r="G656" s="73"/>
      <c r="H656" s="286"/>
      <c r="I656" s="27"/>
      <c r="N656" s="5"/>
      <c r="O656" s="183"/>
    </row>
    <row r="657">
      <c r="E657" s="73"/>
      <c r="F657" s="285"/>
      <c r="G657" s="73"/>
      <c r="H657" s="286"/>
      <c r="I657" s="27"/>
      <c r="N657" s="5"/>
      <c r="O657" s="183"/>
    </row>
    <row r="658">
      <c r="E658" s="73"/>
      <c r="F658" s="285"/>
      <c r="G658" s="73"/>
      <c r="H658" s="286"/>
      <c r="I658" s="27"/>
      <c r="N658" s="5"/>
      <c r="O658" s="183"/>
    </row>
    <row r="659">
      <c r="E659" s="73"/>
      <c r="F659" s="285"/>
      <c r="G659" s="73"/>
      <c r="H659" s="286"/>
      <c r="I659" s="27"/>
      <c r="N659" s="5"/>
      <c r="O659" s="183"/>
    </row>
    <row r="660">
      <c r="E660" s="73"/>
      <c r="F660" s="285"/>
      <c r="G660" s="73"/>
      <c r="H660" s="286"/>
      <c r="I660" s="27"/>
      <c r="N660" s="5"/>
      <c r="O660" s="183"/>
    </row>
    <row r="661">
      <c r="E661" s="73"/>
      <c r="F661" s="285"/>
      <c r="G661" s="73"/>
      <c r="H661" s="286"/>
      <c r="I661" s="27"/>
      <c r="N661" s="5"/>
      <c r="O661" s="183"/>
    </row>
    <row r="662">
      <c r="E662" s="73"/>
      <c r="F662" s="285"/>
      <c r="G662" s="73"/>
      <c r="H662" s="286"/>
      <c r="I662" s="27"/>
      <c r="N662" s="5"/>
      <c r="O662" s="183"/>
    </row>
    <row r="663">
      <c r="E663" s="73"/>
      <c r="F663" s="285"/>
      <c r="G663" s="73"/>
      <c r="H663" s="286"/>
      <c r="I663" s="27"/>
      <c r="N663" s="5"/>
      <c r="O663" s="183"/>
    </row>
    <row r="664">
      <c r="E664" s="73"/>
      <c r="F664" s="285"/>
      <c r="G664" s="73"/>
      <c r="H664" s="286"/>
      <c r="I664" s="27"/>
      <c r="N664" s="5"/>
      <c r="O664" s="183"/>
    </row>
    <row r="665">
      <c r="E665" s="73"/>
      <c r="F665" s="285"/>
      <c r="G665" s="73"/>
      <c r="H665" s="286"/>
      <c r="I665" s="27"/>
      <c r="N665" s="5"/>
      <c r="O665" s="183"/>
    </row>
    <row r="666">
      <c r="E666" s="73"/>
      <c r="F666" s="285"/>
      <c r="G666" s="73"/>
      <c r="H666" s="286"/>
      <c r="I666" s="27"/>
      <c r="N666" s="5"/>
      <c r="O666" s="183"/>
    </row>
    <row r="667">
      <c r="E667" s="73"/>
      <c r="F667" s="285"/>
      <c r="G667" s="73"/>
      <c r="H667" s="286"/>
      <c r="I667" s="27"/>
      <c r="N667" s="5"/>
      <c r="O667" s="183"/>
    </row>
    <row r="668">
      <c r="E668" s="73"/>
      <c r="F668" s="285"/>
      <c r="G668" s="73"/>
      <c r="H668" s="286"/>
      <c r="I668" s="27"/>
      <c r="N668" s="5"/>
      <c r="O668" s="183"/>
    </row>
    <row r="669">
      <c r="E669" s="73"/>
      <c r="F669" s="285"/>
      <c r="G669" s="73"/>
      <c r="H669" s="286"/>
      <c r="I669" s="27"/>
      <c r="N669" s="5"/>
      <c r="O669" s="183"/>
    </row>
    <row r="670">
      <c r="E670" s="73"/>
      <c r="F670" s="285"/>
      <c r="G670" s="73"/>
      <c r="H670" s="286"/>
      <c r="I670" s="27"/>
      <c r="N670" s="5"/>
      <c r="O670" s="183"/>
    </row>
    <row r="671">
      <c r="E671" s="73"/>
      <c r="F671" s="285"/>
      <c r="G671" s="73"/>
      <c r="H671" s="286"/>
      <c r="I671" s="27"/>
      <c r="N671" s="5"/>
      <c r="O671" s="183"/>
    </row>
    <row r="672">
      <c r="E672" s="73"/>
      <c r="F672" s="285"/>
      <c r="G672" s="73"/>
      <c r="H672" s="286"/>
      <c r="I672" s="27"/>
      <c r="N672" s="5"/>
      <c r="O672" s="183"/>
    </row>
    <row r="673">
      <c r="E673" s="73"/>
      <c r="F673" s="285"/>
      <c r="G673" s="73"/>
      <c r="H673" s="286"/>
      <c r="I673" s="27"/>
      <c r="N673" s="5"/>
      <c r="O673" s="183"/>
    </row>
    <row r="674">
      <c r="E674" s="73"/>
      <c r="F674" s="285"/>
      <c r="G674" s="73"/>
      <c r="H674" s="286"/>
      <c r="I674" s="27"/>
      <c r="N674" s="5"/>
      <c r="O674" s="183"/>
    </row>
    <row r="675">
      <c r="E675" s="73"/>
      <c r="F675" s="285"/>
      <c r="G675" s="73"/>
      <c r="H675" s="286"/>
      <c r="I675" s="27"/>
      <c r="N675" s="5"/>
      <c r="O675" s="183"/>
    </row>
    <row r="676">
      <c r="E676" s="73"/>
      <c r="F676" s="285"/>
      <c r="G676" s="73"/>
      <c r="H676" s="286"/>
      <c r="I676" s="27"/>
      <c r="N676" s="5"/>
      <c r="O676" s="183"/>
    </row>
    <row r="677">
      <c r="E677" s="73"/>
      <c r="F677" s="285"/>
      <c r="G677" s="73"/>
      <c r="H677" s="286"/>
      <c r="I677" s="27"/>
      <c r="N677" s="5"/>
      <c r="O677" s="183"/>
    </row>
    <row r="678">
      <c r="E678" s="73"/>
      <c r="F678" s="285"/>
      <c r="G678" s="73"/>
      <c r="H678" s="286"/>
      <c r="I678" s="27"/>
      <c r="N678" s="5"/>
      <c r="O678" s="183"/>
    </row>
    <row r="679">
      <c r="E679" s="73"/>
      <c r="F679" s="285"/>
      <c r="G679" s="73"/>
      <c r="H679" s="286"/>
      <c r="I679" s="27"/>
      <c r="N679" s="5"/>
      <c r="O679" s="183"/>
    </row>
    <row r="680">
      <c r="E680" s="73"/>
      <c r="F680" s="285"/>
      <c r="G680" s="73"/>
      <c r="H680" s="286"/>
      <c r="I680" s="27"/>
      <c r="N680" s="5"/>
      <c r="O680" s="183"/>
    </row>
    <row r="681">
      <c r="E681" s="73"/>
      <c r="F681" s="285"/>
      <c r="G681" s="73"/>
      <c r="H681" s="286"/>
      <c r="I681" s="27"/>
      <c r="N681" s="5"/>
      <c r="O681" s="183"/>
    </row>
    <row r="682">
      <c r="E682" s="73"/>
      <c r="F682" s="285"/>
      <c r="G682" s="73"/>
      <c r="H682" s="286"/>
      <c r="I682" s="27"/>
      <c r="N682" s="5"/>
      <c r="O682" s="183"/>
    </row>
    <row r="683">
      <c r="E683" s="73"/>
      <c r="F683" s="285"/>
      <c r="G683" s="73"/>
      <c r="H683" s="286"/>
      <c r="I683" s="27"/>
      <c r="N683" s="5"/>
      <c r="O683" s="183"/>
    </row>
    <row r="684">
      <c r="E684" s="73"/>
      <c r="F684" s="285"/>
      <c r="G684" s="73"/>
      <c r="H684" s="286"/>
      <c r="I684" s="27"/>
      <c r="N684" s="5"/>
      <c r="O684" s="183"/>
    </row>
    <row r="685">
      <c r="E685" s="73"/>
      <c r="F685" s="285"/>
      <c r="G685" s="73"/>
      <c r="H685" s="286"/>
      <c r="I685" s="27"/>
      <c r="N685" s="5"/>
      <c r="O685" s="183"/>
    </row>
    <row r="686">
      <c r="E686" s="73"/>
      <c r="F686" s="285"/>
      <c r="G686" s="73"/>
      <c r="H686" s="286"/>
      <c r="I686" s="27"/>
      <c r="N686" s="5"/>
      <c r="O686" s="183"/>
    </row>
    <row r="687">
      <c r="E687" s="73"/>
      <c r="F687" s="285"/>
      <c r="G687" s="73"/>
      <c r="H687" s="286"/>
      <c r="I687" s="27"/>
      <c r="N687" s="5"/>
      <c r="O687" s="183"/>
    </row>
    <row r="688">
      <c r="E688" s="73"/>
      <c r="F688" s="285"/>
      <c r="G688" s="73"/>
      <c r="H688" s="286"/>
      <c r="I688" s="27"/>
      <c r="N688" s="5"/>
      <c r="O688" s="183"/>
    </row>
    <row r="689">
      <c r="E689" s="73"/>
      <c r="F689" s="285"/>
      <c r="G689" s="73"/>
      <c r="H689" s="286"/>
      <c r="I689" s="27"/>
      <c r="N689" s="5"/>
      <c r="O689" s="183"/>
    </row>
    <row r="690">
      <c r="E690" s="73"/>
      <c r="F690" s="285"/>
      <c r="G690" s="73"/>
      <c r="H690" s="286"/>
      <c r="I690" s="27"/>
      <c r="N690" s="5"/>
      <c r="O690" s="183"/>
    </row>
    <row r="691">
      <c r="E691" s="73"/>
      <c r="F691" s="285"/>
      <c r="G691" s="73"/>
      <c r="H691" s="286"/>
      <c r="I691" s="27"/>
      <c r="N691" s="5"/>
      <c r="O691" s="183"/>
    </row>
    <row r="692">
      <c r="E692" s="73"/>
      <c r="F692" s="285"/>
      <c r="G692" s="73"/>
      <c r="H692" s="286"/>
      <c r="I692" s="27"/>
      <c r="N692" s="5"/>
      <c r="O692" s="183"/>
    </row>
    <row r="693">
      <c r="E693" s="73"/>
      <c r="F693" s="285"/>
      <c r="G693" s="73"/>
      <c r="H693" s="286"/>
      <c r="I693" s="27"/>
      <c r="N693" s="5"/>
      <c r="O693" s="183"/>
    </row>
    <row r="694">
      <c r="E694" s="73"/>
      <c r="F694" s="285"/>
      <c r="G694" s="73"/>
      <c r="H694" s="286"/>
      <c r="I694" s="27"/>
      <c r="N694" s="5"/>
      <c r="O694" s="183"/>
    </row>
    <row r="695">
      <c r="E695" s="73"/>
      <c r="F695" s="285"/>
      <c r="G695" s="73"/>
      <c r="H695" s="286"/>
      <c r="I695" s="27"/>
      <c r="N695" s="5"/>
      <c r="O695" s="183"/>
    </row>
    <row r="696">
      <c r="E696" s="73"/>
      <c r="F696" s="285"/>
      <c r="G696" s="73"/>
      <c r="H696" s="286"/>
      <c r="I696" s="27"/>
      <c r="N696" s="5"/>
      <c r="O696" s="183"/>
    </row>
    <row r="697">
      <c r="E697" s="73"/>
      <c r="F697" s="285"/>
      <c r="G697" s="73"/>
      <c r="H697" s="286"/>
      <c r="I697" s="27"/>
      <c r="N697" s="5"/>
      <c r="O697" s="183"/>
    </row>
    <row r="698">
      <c r="E698" s="73"/>
      <c r="F698" s="285"/>
      <c r="G698" s="73"/>
      <c r="H698" s="286"/>
      <c r="I698" s="27"/>
      <c r="N698" s="5"/>
      <c r="O698" s="183"/>
    </row>
    <row r="699">
      <c r="E699" s="73"/>
      <c r="F699" s="285"/>
      <c r="G699" s="73"/>
      <c r="H699" s="286"/>
      <c r="I699" s="27"/>
      <c r="N699" s="5"/>
      <c r="O699" s="183"/>
    </row>
    <row r="700">
      <c r="E700" s="73"/>
      <c r="F700" s="285"/>
      <c r="G700" s="73"/>
      <c r="H700" s="286"/>
      <c r="I700" s="27"/>
      <c r="N700" s="5"/>
      <c r="O700" s="183"/>
    </row>
    <row r="701">
      <c r="E701" s="73"/>
      <c r="F701" s="285"/>
      <c r="G701" s="73"/>
      <c r="H701" s="286"/>
      <c r="I701" s="27"/>
      <c r="N701" s="5"/>
      <c r="O701" s="183"/>
    </row>
    <row r="702">
      <c r="E702" s="73"/>
      <c r="F702" s="285"/>
      <c r="G702" s="73"/>
      <c r="H702" s="286"/>
      <c r="I702" s="27"/>
      <c r="N702" s="5"/>
      <c r="O702" s="183"/>
    </row>
    <row r="703">
      <c r="E703" s="73"/>
      <c r="F703" s="285"/>
      <c r="G703" s="73"/>
      <c r="H703" s="286"/>
      <c r="I703" s="27"/>
      <c r="N703" s="5"/>
      <c r="O703" s="183"/>
    </row>
    <row r="704">
      <c r="E704" s="73"/>
      <c r="F704" s="285"/>
      <c r="G704" s="73"/>
      <c r="H704" s="286"/>
      <c r="I704" s="27"/>
      <c r="N704" s="5"/>
      <c r="O704" s="183"/>
    </row>
    <row r="705">
      <c r="E705" s="73"/>
      <c r="F705" s="285"/>
      <c r="G705" s="73"/>
      <c r="H705" s="286"/>
      <c r="I705" s="27"/>
      <c r="N705" s="5"/>
      <c r="O705" s="183"/>
    </row>
    <row r="706">
      <c r="E706" s="73"/>
      <c r="F706" s="285"/>
      <c r="G706" s="73"/>
      <c r="H706" s="286"/>
      <c r="I706" s="27"/>
      <c r="N706" s="5"/>
      <c r="O706" s="183"/>
    </row>
    <row r="707">
      <c r="E707" s="73"/>
      <c r="F707" s="285"/>
      <c r="G707" s="73"/>
      <c r="H707" s="286"/>
      <c r="I707" s="27"/>
      <c r="N707" s="5"/>
      <c r="O707" s="183"/>
    </row>
    <row r="708">
      <c r="E708" s="73"/>
      <c r="F708" s="285"/>
      <c r="G708" s="73"/>
      <c r="H708" s="286"/>
      <c r="I708" s="27"/>
      <c r="N708" s="5"/>
      <c r="O708" s="183"/>
    </row>
    <row r="709">
      <c r="E709" s="73"/>
      <c r="F709" s="285"/>
      <c r="G709" s="73"/>
      <c r="H709" s="286"/>
      <c r="I709" s="27"/>
      <c r="N709" s="5"/>
      <c r="O709" s="183"/>
    </row>
    <row r="710">
      <c r="E710" s="73"/>
      <c r="F710" s="285"/>
      <c r="G710" s="73"/>
      <c r="H710" s="286"/>
      <c r="I710" s="27"/>
      <c r="N710" s="5"/>
      <c r="O710" s="183"/>
    </row>
    <row r="711">
      <c r="E711" s="73"/>
      <c r="F711" s="285"/>
      <c r="G711" s="73"/>
      <c r="H711" s="286"/>
      <c r="I711" s="27"/>
      <c r="N711" s="5"/>
      <c r="O711" s="183"/>
    </row>
    <row r="712">
      <c r="E712" s="73"/>
      <c r="F712" s="285"/>
      <c r="G712" s="73"/>
      <c r="H712" s="286"/>
      <c r="I712" s="27"/>
      <c r="N712" s="5"/>
      <c r="O712" s="183"/>
    </row>
    <row r="713">
      <c r="E713" s="73"/>
      <c r="F713" s="285"/>
      <c r="G713" s="73"/>
      <c r="H713" s="286"/>
      <c r="I713" s="27"/>
      <c r="N713" s="5"/>
      <c r="O713" s="183"/>
    </row>
    <row r="714">
      <c r="E714" s="73"/>
      <c r="F714" s="285"/>
      <c r="G714" s="73"/>
      <c r="H714" s="286"/>
      <c r="I714" s="27"/>
      <c r="N714" s="5"/>
      <c r="O714" s="183"/>
    </row>
    <row r="715">
      <c r="E715" s="73"/>
      <c r="F715" s="285"/>
      <c r="G715" s="73"/>
      <c r="H715" s="286"/>
      <c r="I715" s="27"/>
      <c r="N715" s="5"/>
      <c r="O715" s="183"/>
    </row>
    <row r="716">
      <c r="E716" s="73"/>
      <c r="F716" s="285"/>
      <c r="G716" s="73"/>
      <c r="H716" s="286"/>
      <c r="I716" s="27"/>
      <c r="N716" s="5"/>
      <c r="O716" s="183"/>
    </row>
    <row r="717">
      <c r="E717" s="73"/>
      <c r="F717" s="285"/>
      <c r="G717" s="73"/>
      <c r="H717" s="286"/>
      <c r="I717" s="27"/>
      <c r="N717" s="5"/>
      <c r="O717" s="183"/>
    </row>
    <row r="718">
      <c r="E718" s="73"/>
      <c r="F718" s="285"/>
      <c r="G718" s="73"/>
      <c r="H718" s="286"/>
      <c r="I718" s="27"/>
      <c r="N718" s="5"/>
      <c r="O718" s="183"/>
    </row>
    <row r="719">
      <c r="E719" s="73"/>
      <c r="F719" s="285"/>
      <c r="G719" s="73"/>
      <c r="H719" s="286"/>
      <c r="I719" s="27"/>
      <c r="N719" s="5"/>
      <c r="O719" s="183"/>
    </row>
    <row r="720">
      <c r="E720" s="73"/>
      <c r="F720" s="285"/>
      <c r="G720" s="73"/>
      <c r="H720" s="286"/>
      <c r="I720" s="27"/>
      <c r="N720" s="5"/>
      <c r="O720" s="183"/>
    </row>
    <row r="721">
      <c r="E721" s="73"/>
      <c r="F721" s="285"/>
      <c r="G721" s="73"/>
      <c r="H721" s="286"/>
      <c r="I721" s="27"/>
      <c r="N721" s="5"/>
      <c r="O721" s="183"/>
    </row>
    <row r="722">
      <c r="E722" s="73"/>
      <c r="F722" s="285"/>
      <c r="G722" s="73"/>
      <c r="H722" s="286"/>
      <c r="I722" s="27"/>
      <c r="N722" s="5"/>
      <c r="O722" s="183"/>
    </row>
    <row r="723">
      <c r="E723" s="73"/>
      <c r="F723" s="285"/>
      <c r="G723" s="73"/>
      <c r="H723" s="286"/>
      <c r="I723" s="27"/>
      <c r="N723" s="5"/>
      <c r="O723" s="183"/>
    </row>
    <row r="724">
      <c r="E724" s="73"/>
      <c r="F724" s="285"/>
      <c r="G724" s="73"/>
      <c r="H724" s="286"/>
      <c r="I724" s="27"/>
      <c r="N724" s="5"/>
      <c r="O724" s="183"/>
    </row>
    <row r="725">
      <c r="E725" s="73"/>
      <c r="F725" s="285"/>
      <c r="G725" s="73"/>
      <c r="H725" s="286"/>
      <c r="I725" s="27"/>
      <c r="N725" s="5"/>
      <c r="O725" s="183"/>
    </row>
    <row r="726">
      <c r="E726" s="73"/>
      <c r="F726" s="285"/>
      <c r="G726" s="73"/>
      <c r="H726" s="286"/>
      <c r="I726" s="27"/>
      <c r="N726" s="5"/>
      <c r="O726" s="183"/>
    </row>
    <row r="727">
      <c r="E727" s="73"/>
      <c r="F727" s="285"/>
      <c r="G727" s="73"/>
      <c r="H727" s="286"/>
      <c r="I727" s="27"/>
      <c r="N727" s="5"/>
      <c r="O727" s="183"/>
    </row>
    <row r="728">
      <c r="E728" s="73"/>
      <c r="F728" s="285"/>
      <c r="G728" s="73"/>
      <c r="H728" s="286"/>
      <c r="I728" s="27"/>
      <c r="N728" s="5"/>
      <c r="O728" s="183"/>
    </row>
    <row r="729">
      <c r="E729" s="73"/>
      <c r="F729" s="285"/>
      <c r="G729" s="73"/>
      <c r="H729" s="286"/>
      <c r="I729" s="27"/>
      <c r="N729" s="5"/>
      <c r="O729" s="183"/>
    </row>
    <row r="730">
      <c r="E730" s="73"/>
      <c r="F730" s="285"/>
      <c r="G730" s="73"/>
      <c r="H730" s="286"/>
      <c r="I730" s="27"/>
      <c r="N730" s="5"/>
      <c r="O730" s="183"/>
    </row>
    <row r="731">
      <c r="E731" s="73"/>
      <c r="F731" s="285"/>
      <c r="G731" s="73"/>
      <c r="H731" s="286"/>
      <c r="I731" s="27"/>
      <c r="N731" s="5"/>
      <c r="O731" s="183"/>
    </row>
    <row r="732">
      <c r="E732" s="73"/>
      <c r="F732" s="285"/>
      <c r="G732" s="73"/>
      <c r="H732" s="286"/>
      <c r="I732" s="27"/>
      <c r="N732" s="5"/>
      <c r="O732" s="183"/>
    </row>
    <row r="733">
      <c r="E733" s="73"/>
      <c r="F733" s="285"/>
      <c r="G733" s="73"/>
      <c r="H733" s="286"/>
      <c r="I733" s="27"/>
      <c r="N733" s="5"/>
      <c r="O733" s="183"/>
    </row>
    <row r="734">
      <c r="E734" s="73"/>
      <c r="F734" s="285"/>
      <c r="G734" s="73"/>
      <c r="H734" s="286"/>
      <c r="I734" s="27"/>
      <c r="N734" s="5"/>
      <c r="O734" s="183"/>
    </row>
    <row r="735">
      <c r="E735" s="73"/>
      <c r="F735" s="285"/>
      <c r="G735" s="73"/>
      <c r="H735" s="286"/>
      <c r="I735" s="27"/>
      <c r="N735" s="5"/>
      <c r="O735" s="183"/>
    </row>
    <row r="736">
      <c r="E736" s="73"/>
      <c r="F736" s="285"/>
      <c r="G736" s="73"/>
      <c r="H736" s="286"/>
      <c r="I736" s="27"/>
      <c r="N736" s="5"/>
      <c r="O736" s="183"/>
    </row>
    <row r="737">
      <c r="E737" s="73"/>
      <c r="F737" s="285"/>
      <c r="G737" s="73"/>
      <c r="H737" s="286"/>
      <c r="I737" s="27"/>
      <c r="N737" s="5"/>
      <c r="O737" s="183"/>
    </row>
    <row r="738">
      <c r="E738" s="73"/>
      <c r="F738" s="285"/>
      <c r="G738" s="73"/>
      <c r="H738" s="286"/>
      <c r="I738" s="27"/>
      <c r="N738" s="5"/>
      <c r="O738" s="183"/>
    </row>
    <row r="739">
      <c r="E739" s="73"/>
      <c r="F739" s="285"/>
      <c r="G739" s="73"/>
      <c r="H739" s="286"/>
      <c r="I739" s="27"/>
      <c r="N739" s="5"/>
      <c r="O739" s="183"/>
    </row>
    <row r="740">
      <c r="E740" s="73"/>
      <c r="F740" s="285"/>
      <c r="G740" s="73"/>
      <c r="H740" s="286"/>
      <c r="I740" s="27"/>
      <c r="N740" s="5"/>
      <c r="O740" s="183"/>
    </row>
    <row r="741">
      <c r="E741" s="73"/>
      <c r="F741" s="285"/>
      <c r="G741" s="73"/>
      <c r="H741" s="286"/>
      <c r="I741" s="27"/>
      <c r="N741" s="5"/>
      <c r="O741" s="183"/>
    </row>
    <row r="742">
      <c r="E742" s="73"/>
      <c r="F742" s="285"/>
      <c r="G742" s="73"/>
      <c r="H742" s="286"/>
      <c r="I742" s="27"/>
      <c r="N742" s="5"/>
      <c r="O742" s="183"/>
    </row>
    <row r="743">
      <c r="E743" s="73"/>
      <c r="F743" s="285"/>
      <c r="G743" s="73"/>
      <c r="H743" s="286"/>
      <c r="I743" s="27"/>
      <c r="N743" s="5"/>
      <c r="O743" s="183"/>
    </row>
    <row r="744">
      <c r="E744" s="73"/>
      <c r="F744" s="285"/>
      <c r="G744" s="73"/>
      <c r="H744" s="286"/>
      <c r="I744" s="27"/>
      <c r="N744" s="5"/>
      <c r="O744" s="183"/>
    </row>
    <row r="745">
      <c r="E745" s="73"/>
      <c r="F745" s="285"/>
      <c r="G745" s="73"/>
      <c r="H745" s="286"/>
      <c r="I745" s="27"/>
      <c r="N745" s="5"/>
      <c r="O745" s="183"/>
    </row>
    <row r="746">
      <c r="E746" s="73"/>
      <c r="F746" s="285"/>
      <c r="G746" s="73"/>
      <c r="H746" s="286"/>
      <c r="I746" s="27"/>
      <c r="N746" s="5"/>
      <c r="O746" s="183"/>
    </row>
    <row r="747">
      <c r="E747" s="73"/>
      <c r="F747" s="285"/>
      <c r="G747" s="73"/>
      <c r="H747" s="286"/>
      <c r="I747" s="27"/>
      <c r="N747" s="5"/>
      <c r="O747" s="183"/>
    </row>
    <row r="748">
      <c r="E748" s="73"/>
      <c r="F748" s="285"/>
      <c r="G748" s="73"/>
      <c r="H748" s="286"/>
      <c r="I748" s="27"/>
      <c r="N748" s="5"/>
      <c r="O748" s="183"/>
    </row>
    <row r="749">
      <c r="E749" s="73"/>
      <c r="F749" s="285"/>
      <c r="G749" s="73"/>
      <c r="H749" s="286"/>
      <c r="I749" s="27"/>
      <c r="N749" s="5"/>
      <c r="O749" s="183"/>
    </row>
    <row r="750">
      <c r="E750" s="73"/>
      <c r="F750" s="285"/>
      <c r="G750" s="73"/>
      <c r="H750" s="286"/>
      <c r="I750" s="27"/>
      <c r="N750" s="5"/>
      <c r="O750" s="183"/>
    </row>
    <row r="751">
      <c r="E751" s="73"/>
      <c r="F751" s="285"/>
      <c r="G751" s="73"/>
      <c r="H751" s="286"/>
      <c r="I751" s="27"/>
      <c r="N751" s="5"/>
      <c r="O751" s="183"/>
    </row>
    <row r="752">
      <c r="E752" s="73"/>
      <c r="F752" s="285"/>
      <c r="G752" s="73"/>
      <c r="H752" s="286"/>
      <c r="I752" s="27"/>
      <c r="N752" s="5"/>
      <c r="O752" s="183"/>
    </row>
    <row r="753">
      <c r="E753" s="73"/>
      <c r="F753" s="285"/>
      <c r="G753" s="73"/>
      <c r="H753" s="286"/>
      <c r="I753" s="27"/>
      <c r="N753" s="5"/>
      <c r="O753" s="183"/>
    </row>
    <row r="754">
      <c r="E754" s="73"/>
      <c r="F754" s="285"/>
      <c r="G754" s="73"/>
      <c r="H754" s="286"/>
      <c r="I754" s="27"/>
      <c r="N754" s="5"/>
      <c r="O754" s="183"/>
    </row>
    <row r="755">
      <c r="E755" s="73"/>
      <c r="F755" s="285"/>
      <c r="G755" s="73"/>
      <c r="H755" s="286"/>
      <c r="I755" s="27"/>
      <c r="N755" s="5"/>
      <c r="O755" s="183"/>
    </row>
    <row r="756">
      <c r="E756" s="73"/>
      <c r="F756" s="285"/>
      <c r="G756" s="73"/>
      <c r="H756" s="286"/>
      <c r="I756" s="27"/>
      <c r="N756" s="5"/>
      <c r="O756" s="183"/>
    </row>
    <row r="757">
      <c r="E757" s="73"/>
      <c r="F757" s="285"/>
      <c r="G757" s="73"/>
      <c r="H757" s="286"/>
      <c r="I757" s="27"/>
      <c r="N757" s="5"/>
      <c r="O757" s="183"/>
    </row>
    <row r="758">
      <c r="E758" s="73"/>
      <c r="F758" s="285"/>
      <c r="G758" s="73"/>
      <c r="H758" s="286"/>
      <c r="I758" s="27"/>
      <c r="N758" s="5"/>
      <c r="O758" s="183"/>
    </row>
    <row r="759">
      <c r="E759" s="73"/>
      <c r="F759" s="285"/>
      <c r="G759" s="73"/>
      <c r="H759" s="286"/>
      <c r="I759" s="27"/>
      <c r="N759" s="5"/>
      <c r="O759" s="183"/>
    </row>
    <row r="760">
      <c r="E760" s="73"/>
      <c r="F760" s="285"/>
      <c r="G760" s="73"/>
      <c r="H760" s="286"/>
      <c r="I760" s="27"/>
      <c r="N760" s="5"/>
      <c r="O760" s="183"/>
    </row>
    <row r="761">
      <c r="E761" s="73"/>
      <c r="F761" s="285"/>
      <c r="G761" s="73"/>
      <c r="H761" s="286"/>
      <c r="I761" s="27"/>
      <c r="N761" s="5"/>
      <c r="O761" s="183"/>
    </row>
    <row r="762">
      <c r="E762" s="73"/>
      <c r="F762" s="285"/>
      <c r="G762" s="73"/>
      <c r="H762" s="286"/>
      <c r="I762" s="27"/>
      <c r="N762" s="5"/>
      <c r="O762" s="183"/>
    </row>
    <row r="763">
      <c r="E763" s="73"/>
      <c r="F763" s="285"/>
      <c r="G763" s="73"/>
      <c r="H763" s="286"/>
      <c r="I763" s="27"/>
      <c r="N763" s="5"/>
      <c r="O763" s="183"/>
    </row>
    <row r="764">
      <c r="E764" s="73"/>
      <c r="F764" s="285"/>
      <c r="G764" s="73"/>
      <c r="H764" s="286"/>
      <c r="I764" s="27"/>
      <c r="N764" s="5"/>
      <c r="O764" s="183"/>
    </row>
    <row r="765">
      <c r="E765" s="73"/>
      <c r="F765" s="285"/>
      <c r="G765" s="73"/>
      <c r="H765" s="286"/>
      <c r="I765" s="27"/>
      <c r="N765" s="5"/>
      <c r="O765" s="183"/>
    </row>
    <row r="766">
      <c r="E766" s="73"/>
      <c r="F766" s="285"/>
      <c r="G766" s="73"/>
      <c r="H766" s="286"/>
      <c r="I766" s="27"/>
      <c r="N766" s="5"/>
      <c r="O766" s="183"/>
    </row>
    <row r="767">
      <c r="E767" s="73"/>
      <c r="F767" s="285"/>
      <c r="G767" s="73"/>
      <c r="H767" s="286"/>
      <c r="I767" s="27"/>
      <c r="N767" s="5"/>
      <c r="O767" s="183"/>
    </row>
    <row r="768">
      <c r="E768" s="73"/>
      <c r="F768" s="285"/>
      <c r="G768" s="73"/>
      <c r="H768" s="286"/>
      <c r="I768" s="27"/>
      <c r="N768" s="5"/>
      <c r="O768" s="183"/>
    </row>
    <row r="769">
      <c r="E769" s="73"/>
      <c r="F769" s="285"/>
      <c r="G769" s="73"/>
      <c r="H769" s="286"/>
      <c r="I769" s="27"/>
      <c r="N769" s="5"/>
      <c r="O769" s="183"/>
    </row>
    <row r="770">
      <c r="E770" s="73"/>
      <c r="F770" s="285"/>
      <c r="G770" s="73"/>
      <c r="H770" s="286"/>
      <c r="I770" s="27"/>
      <c r="N770" s="5"/>
      <c r="O770" s="183"/>
    </row>
    <row r="771">
      <c r="E771" s="73"/>
      <c r="F771" s="285"/>
      <c r="G771" s="73"/>
      <c r="H771" s="286"/>
      <c r="I771" s="27"/>
      <c r="N771" s="5"/>
      <c r="O771" s="183"/>
    </row>
    <row r="772">
      <c r="E772" s="73"/>
      <c r="F772" s="285"/>
      <c r="G772" s="73"/>
      <c r="H772" s="286"/>
      <c r="I772" s="27"/>
      <c r="N772" s="5"/>
      <c r="O772" s="183"/>
    </row>
    <row r="773">
      <c r="E773" s="73"/>
      <c r="F773" s="285"/>
      <c r="G773" s="73"/>
      <c r="H773" s="286"/>
      <c r="I773" s="27"/>
      <c r="N773" s="5"/>
      <c r="O773" s="183"/>
    </row>
    <row r="774">
      <c r="E774" s="73"/>
      <c r="F774" s="285"/>
      <c r="G774" s="73"/>
      <c r="H774" s="286"/>
      <c r="I774" s="27"/>
      <c r="N774" s="5"/>
      <c r="O774" s="183"/>
    </row>
    <row r="775">
      <c r="E775" s="73"/>
      <c r="F775" s="285"/>
      <c r="G775" s="73"/>
      <c r="H775" s="286"/>
      <c r="I775" s="27"/>
      <c r="N775" s="5"/>
      <c r="O775" s="183"/>
    </row>
    <row r="776">
      <c r="E776" s="73"/>
      <c r="F776" s="285"/>
      <c r="G776" s="73"/>
      <c r="H776" s="286"/>
      <c r="I776" s="27"/>
      <c r="N776" s="5"/>
      <c r="O776" s="183"/>
    </row>
    <row r="777">
      <c r="E777" s="73"/>
      <c r="F777" s="285"/>
      <c r="G777" s="73"/>
      <c r="H777" s="286"/>
      <c r="I777" s="27"/>
      <c r="N777" s="5"/>
      <c r="O777" s="183"/>
    </row>
    <row r="778">
      <c r="E778" s="73"/>
      <c r="F778" s="285"/>
      <c r="G778" s="73"/>
      <c r="H778" s="286"/>
      <c r="I778" s="27"/>
      <c r="N778" s="5"/>
      <c r="O778" s="183"/>
    </row>
    <row r="779">
      <c r="E779" s="73"/>
      <c r="F779" s="285"/>
      <c r="G779" s="73"/>
      <c r="H779" s="286"/>
      <c r="I779" s="27"/>
      <c r="N779" s="5"/>
      <c r="O779" s="183"/>
    </row>
    <row r="780">
      <c r="E780" s="73"/>
      <c r="F780" s="285"/>
      <c r="G780" s="73"/>
      <c r="H780" s="286"/>
      <c r="I780" s="27"/>
      <c r="N780" s="5"/>
      <c r="O780" s="183"/>
    </row>
    <row r="781">
      <c r="E781" s="73"/>
      <c r="F781" s="285"/>
      <c r="G781" s="73"/>
      <c r="H781" s="286"/>
      <c r="I781" s="27"/>
      <c r="N781" s="5"/>
      <c r="O781" s="183"/>
    </row>
    <row r="782">
      <c r="E782" s="73"/>
      <c r="F782" s="285"/>
      <c r="G782" s="73"/>
      <c r="H782" s="286"/>
      <c r="I782" s="27"/>
      <c r="N782" s="5"/>
      <c r="O782" s="183"/>
    </row>
    <row r="783">
      <c r="E783" s="73"/>
      <c r="F783" s="285"/>
      <c r="G783" s="73"/>
      <c r="H783" s="286"/>
      <c r="I783" s="27"/>
      <c r="N783" s="5"/>
      <c r="O783" s="183"/>
    </row>
    <row r="784">
      <c r="E784" s="73"/>
      <c r="F784" s="285"/>
      <c r="G784" s="73"/>
      <c r="H784" s="286"/>
      <c r="I784" s="27"/>
      <c r="N784" s="5"/>
      <c r="O784" s="183"/>
    </row>
    <row r="785">
      <c r="E785" s="73"/>
      <c r="F785" s="285"/>
      <c r="G785" s="73"/>
      <c r="H785" s="286"/>
      <c r="I785" s="27"/>
      <c r="N785" s="5"/>
      <c r="O785" s="183"/>
    </row>
    <row r="786">
      <c r="E786" s="73"/>
      <c r="F786" s="285"/>
      <c r="G786" s="73"/>
      <c r="H786" s="286"/>
      <c r="I786" s="27"/>
      <c r="N786" s="5"/>
      <c r="O786" s="183"/>
    </row>
    <row r="787">
      <c r="E787" s="73"/>
      <c r="F787" s="285"/>
      <c r="G787" s="73"/>
      <c r="H787" s="286"/>
      <c r="I787" s="27"/>
      <c r="N787" s="5"/>
      <c r="O787" s="183"/>
    </row>
    <row r="788">
      <c r="E788" s="73"/>
      <c r="F788" s="285"/>
      <c r="G788" s="73"/>
      <c r="H788" s="286"/>
      <c r="I788" s="27"/>
      <c r="N788" s="5"/>
      <c r="O788" s="183"/>
    </row>
    <row r="789">
      <c r="E789" s="73"/>
      <c r="F789" s="285"/>
      <c r="G789" s="73"/>
      <c r="H789" s="286"/>
      <c r="I789" s="27"/>
      <c r="N789" s="5"/>
      <c r="O789" s="183"/>
    </row>
    <row r="790">
      <c r="E790" s="73"/>
      <c r="F790" s="285"/>
      <c r="G790" s="73"/>
      <c r="H790" s="286"/>
      <c r="I790" s="27"/>
      <c r="N790" s="5"/>
      <c r="O790" s="183"/>
    </row>
    <row r="791">
      <c r="E791" s="73"/>
      <c r="F791" s="285"/>
      <c r="G791" s="73"/>
      <c r="H791" s="286"/>
      <c r="I791" s="27"/>
      <c r="N791" s="5"/>
      <c r="O791" s="183"/>
    </row>
    <row r="792">
      <c r="E792" s="73"/>
      <c r="F792" s="285"/>
      <c r="G792" s="73"/>
      <c r="H792" s="286"/>
      <c r="I792" s="27"/>
      <c r="N792" s="5"/>
      <c r="O792" s="183"/>
    </row>
    <row r="793">
      <c r="E793" s="73"/>
      <c r="F793" s="285"/>
      <c r="G793" s="73"/>
      <c r="H793" s="286"/>
      <c r="I793" s="27"/>
      <c r="N793" s="5"/>
      <c r="O793" s="183"/>
    </row>
    <row r="794">
      <c r="E794" s="73"/>
      <c r="F794" s="285"/>
      <c r="G794" s="73"/>
      <c r="H794" s="286"/>
      <c r="I794" s="27"/>
      <c r="N794" s="5"/>
      <c r="O794" s="183"/>
    </row>
    <row r="795">
      <c r="E795" s="73"/>
      <c r="F795" s="285"/>
      <c r="G795" s="73"/>
      <c r="H795" s="286"/>
      <c r="I795" s="27"/>
      <c r="N795" s="5"/>
      <c r="O795" s="183"/>
    </row>
    <row r="796">
      <c r="E796" s="73"/>
      <c r="F796" s="285"/>
      <c r="G796" s="73"/>
      <c r="H796" s="286"/>
      <c r="I796" s="27"/>
      <c r="N796" s="5"/>
      <c r="O796" s="183"/>
    </row>
    <row r="797">
      <c r="E797" s="73"/>
      <c r="F797" s="285"/>
      <c r="G797" s="73"/>
      <c r="H797" s="286"/>
      <c r="I797" s="27"/>
      <c r="N797" s="5"/>
      <c r="O797" s="183"/>
    </row>
    <row r="798">
      <c r="E798" s="73"/>
      <c r="F798" s="285"/>
      <c r="G798" s="73"/>
      <c r="H798" s="286"/>
      <c r="I798" s="27"/>
      <c r="N798" s="5"/>
      <c r="O798" s="183"/>
    </row>
    <row r="799">
      <c r="E799" s="73"/>
      <c r="F799" s="285"/>
      <c r="G799" s="73"/>
      <c r="H799" s="286"/>
      <c r="I799" s="27"/>
      <c r="N799" s="5"/>
      <c r="O799" s="183"/>
    </row>
    <row r="800">
      <c r="E800" s="73"/>
      <c r="F800" s="285"/>
      <c r="G800" s="73"/>
      <c r="H800" s="286"/>
      <c r="I800" s="27"/>
      <c r="N800" s="5"/>
      <c r="O800" s="183"/>
    </row>
    <row r="801">
      <c r="E801" s="73"/>
      <c r="F801" s="285"/>
      <c r="G801" s="73"/>
      <c r="H801" s="286"/>
      <c r="I801" s="27"/>
      <c r="N801" s="5"/>
      <c r="O801" s="183"/>
    </row>
    <row r="802">
      <c r="E802" s="73"/>
      <c r="F802" s="285"/>
      <c r="G802" s="73"/>
      <c r="H802" s="286"/>
      <c r="I802" s="27"/>
      <c r="N802" s="5"/>
      <c r="O802" s="183"/>
    </row>
    <row r="803">
      <c r="E803" s="73"/>
      <c r="F803" s="285"/>
      <c r="G803" s="73"/>
      <c r="H803" s="286"/>
      <c r="I803" s="27"/>
      <c r="N803" s="5"/>
      <c r="O803" s="183"/>
    </row>
    <row r="804">
      <c r="E804" s="73"/>
      <c r="F804" s="285"/>
      <c r="G804" s="73"/>
      <c r="H804" s="286"/>
      <c r="I804" s="27"/>
      <c r="N804" s="5"/>
      <c r="O804" s="183"/>
    </row>
    <row r="805">
      <c r="E805" s="73"/>
      <c r="F805" s="285"/>
      <c r="G805" s="73"/>
      <c r="H805" s="286"/>
      <c r="I805" s="27"/>
      <c r="N805" s="5"/>
      <c r="O805" s="183"/>
    </row>
    <row r="806">
      <c r="E806" s="73"/>
      <c r="F806" s="285"/>
      <c r="G806" s="73"/>
      <c r="H806" s="286"/>
      <c r="I806" s="27"/>
      <c r="N806" s="5"/>
      <c r="O806" s="183"/>
    </row>
    <row r="807">
      <c r="E807" s="73"/>
      <c r="F807" s="285"/>
      <c r="G807" s="73"/>
      <c r="H807" s="286"/>
      <c r="I807" s="27"/>
      <c r="N807" s="5"/>
      <c r="O807" s="183"/>
    </row>
    <row r="808">
      <c r="E808" s="73"/>
      <c r="F808" s="285"/>
      <c r="G808" s="73"/>
      <c r="H808" s="286"/>
      <c r="I808" s="27"/>
      <c r="N808" s="5"/>
      <c r="O808" s="183"/>
    </row>
    <row r="809">
      <c r="E809" s="73"/>
      <c r="F809" s="285"/>
      <c r="G809" s="73"/>
      <c r="H809" s="286"/>
      <c r="I809" s="27"/>
      <c r="N809" s="5"/>
      <c r="O809" s="183"/>
    </row>
    <row r="810">
      <c r="E810" s="73"/>
      <c r="F810" s="285"/>
      <c r="G810" s="73"/>
      <c r="H810" s="286"/>
      <c r="I810" s="27"/>
      <c r="N810" s="5"/>
      <c r="O810" s="183"/>
    </row>
    <row r="811">
      <c r="E811" s="73"/>
      <c r="F811" s="285"/>
      <c r="G811" s="73"/>
      <c r="H811" s="286"/>
      <c r="I811" s="27"/>
      <c r="N811" s="5"/>
      <c r="O811" s="183"/>
    </row>
    <row r="812">
      <c r="E812" s="73"/>
      <c r="F812" s="285"/>
      <c r="G812" s="73"/>
      <c r="H812" s="286"/>
      <c r="I812" s="27"/>
      <c r="N812" s="5"/>
      <c r="O812" s="183"/>
    </row>
    <row r="813">
      <c r="E813" s="73"/>
      <c r="F813" s="285"/>
      <c r="G813" s="73"/>
      <c r="H813" s="286"/>
      <c r="I813" s="27"/>
      <c r="N813" s="5"/>
      <c r="O813" s="183"/>
    </row>
    <row r="814">
      <c r="E814" s="73"/>
      <c r="F814" s="285"/>
      <c r="G814" s="73"/>
      <c r="H814" s="286"/>
      <c r="I814" s="27"/>
      <c r="N814" s="5"/>
      <c r="O814" s="183"/>
    </row>
    <row r="815">
      <c r="E815" s="73"/>
      <c r="F815" s="285"/>
      <c r="G815" s="73"/>
      <c r="H815" s="286"/>
      <c r="I815" s="27"/>
      <c r="N815" s="5"/>
      <c r="O815" s="183"/>
    </row>
    <row r="816">
      <c r="E816" s="73"/>
      <c r="F816" s="285"/>
      <c r="G816" s="73"/>
      <c r="H816" s="286"/>
      <c r="I816" s="27"/>
      <c r="N816" s="5"/>
      <c r="O816" s="183"/>
    </row>
    <row r="817">
      <c r="E817" s="73"/>
      <c r="F817" s="285"/>
      <c r="G817" s="73"/>
      <c r="H817" s="286"/>
      <c r="I817" s="27"/>
      <c r="N817" s="5"/>
      <c r="O817" s="183"/>
    </row>
    <row r="818">
      <c r="E818" s="73"/>
      <c r="F818" s="285"/>
      <c r="G818" s="73"/>
      <c r="H818" s="286"/>
      <c r="I818" s="27"/>
      <c r="N818" s="5"/>
      <c r="O818" s="183"/>
    </row>
    <row r="819">
      <c r="E819" s="73"/>
      <c r="F819" s="285"/>
      <c r="G819" s="73"/>
      <c r="H819" s="286"/>
      <c r="I819" s="27"/>
      <c r="N819" s="5"/>
      <c r="O819" s="183"/>
    </row>
    <row r="820">
      <c r="E820" s="73"/>
      <c r="F820" s="285"/>
      <c r="G820" s="73"/>
      <c r="H820" s="286"/>
      <c r="I820" s="27"/>
      <c r="N820" s="5"/>
      <c r="O820" s="183"/>
    </row>
    <row r="821">
      <c r="E821" s="73"/>
      <c r="F821" s="285"/>
      <c r="G821" s="73"/>
      <c r="H821" s="286"/>
      <c r="I821" s="27"/>
      <c r="N821" s="5"/>
      <c r="O821" s="183"/>
    </row>
    <row r="822">
      <c r="E822" s="73"/>
      <c r="F822" s="285"/>
      <c r="G822" s="73"/>
      <c r="H822" s="286"/>
      <c r="I822" s="27"/>
      <c r="N822" s="5"/>
      <c r="O822" s="183"/>
    </row>
    <row r="823">
      <c r="E823" s="73"/>
      <c r="F823" s="285"/>
      <c r="G823" s="73"/>
      <c r="H823" s="286"/>
      <c r="I823" s="27"/>
      <c r="N823" s="5"/>
      <c r="O823" s="183"/>
    </row>
    <row r="824">
      <c r="E824" s="73"/>
      <c r="F824" s="285"/>
      <c r="G824" s="73"/>
      <c r="H824" s="286"/>
      <c r="I824" s="27"/>
      <c r="N824" s="5"/>
      <c r="O824" s="183"/>
    </row>
    <row r="825">
      <c r="E825" s="73"/>
      <c r="F825" s="285"/>
      <c r="G825" s="73"/>
      <c r="H825" s="286"/>
      <c r="I825" s="27"/>
      <c r="N825" s="5"/>
      <c r="O825" s="183"/>
    </row>
    <row r="826">
      <c r="E826" s="73"/>
      <c r="F826" s="285"/>
      <c r="G826" s="73"/>
      <c r="H826" s="286"/>
      <c r="I826" s="27"/>
      <c r="N826" s="5"/>
      <c r="O826" s="183"/>
    </row>
    <row r="827">
      <c r="E827" s="73"/>
      <c r="F827" s="285"/>
      <c r="G827" s="73"/>
      <c r="H827" s="286"/>
      <c r="I827" s="27"/>
      <c r="N827" s="5"/>
      <c r="O827" s="183"/>
    </row>
    <row r="828">
      <c r="E828" s="73"/>
      <c r="F828" s="285"/>
      <c r="G828" s="73"/>
      <c r="H828" s="286"/>
      <c r="I828" s="27"/>
      <c r="N828" s="5"/>
      <c r="O828" s="183"/>
    </row>
    <row r="829">
      <c r="E829" s="73"/>
      <c r="F829" s="285"/>
      <c r="G829" s="73"/>
      <c r="H829" s="286"/>
      <c r="I829" s="27"/>
      <c r="N829" s="5"/>
      <c r="O829" s="183"/>
    </row>
    <row r="830">
      <c r="E830" s="73"/>
      <c r="F830" s="285"/>
      <c r="G830" s="73"/>
      <c r="H830" s="286"/>
      <c r="I830" s="27"/>
      <c r="N830" s="5"/>
      <c r="O830" s="183"/>
    </row>
    <row r="831">
      <c r="E831" s="73"/>
      <c r="F831" s="285"/>
      <c r="G831" s="73"/>
      <c r="H831" s="286"/>
      <c r="I831" s="27"/>
      <c r="N831" s="5"/>
      <c r="O831" s="183"/>
    </row>
    <row r="832">
      <c r="E832" s="73"/>
      <c r="F832" s="285"/>
      <c r="G832" s="73"/>
      <c r="H832" s="286"/>
      <c r="I832" s="27"/>
      <c r="N832" s="5"/>
      <c r="O832" s="183"/>
    </row>
    <row r="833">
      <c r="E833" s="73"/>
      <c r="F833" s="285"/>
      <c r="G833" s="73"/>
      <c r="H833" s="286"/>
      <c r="I833" s="27"/>
      <c r="N833" s="5"/>
      <c r="O833" s="183"/>
    </row>
    <row r="834">
      <c r="E834" s="73"/>
      <c r="F834" s="285"/>
      <c r="G834" s="73"/>
      <c r="H834" s="286"/>
      <c r="I834" s="27"/>
      <c r="N834" s="5"/>
      <c r="O834" s="183"/>
    </row>
    <row r="835">
      <c r="E835" s="73"/>
      <c r="F835" s="285"/>
      <c r="G835" s="73"/>
      <c r="H835" s="286"/>
      <c r="I835" s="27"/>
      <c r="N835" s="5"/>
      <c r="O835" s="183"/>
    </row>
    <row r="836">
      <c r="E836" s="73"/>
      <c r="F836" s="285"/>
      <c r="G836" s="73"/>
      <c r="H836" s="286"/>
      <c r="I836" s="27"/>
      <c r="N836" s="5"/>
      <c r="O836" s="183"/>
    </row>
    <row r="837">
      <c r="E837" s="73"/>
      <c r="F837" s="285"/>
      <c r="G837" s="73"/>
      <c r="H837" s="286"/>
      <c r="I837" s="27"/>
      <c r="N837" s="5"/>
      <c r="O837" s="183"/>
    </row>
    <row r="838">
      <c r="E838" s="73"/>
      <c r="F838" s="285"/>
      <c r="G838" s="73"/>
      <c r="H838" s="286"/>
      <c r="I838" s="27"/>
      <c r="N838" s="5"/>
      <c r="O838" s="183"/>
    </row>
    <row r="839">
      <c r="E839" s="73"/>
      <c r="F839" s="285"/>
      <c r="G839" s="73"/>
      <c r="H839" s="286"/>
      <c r="I839" s="27"/>
      <c r="N839" s="5"/>
      <c r="O839" s="183"/>
    </row>
    <row r="840">
      <c r="E840" s="73"/>
      <c r="F840" s="285"/>
      <c r="G840" s="73"/>
      <c r="H840" s="286"/>
      <c r="I840" s="27"/>
      <c r="N840" s="5"/>
      <c r="O840" s="183"/>
    </row>
    <row r="841">
      <c r="E841" s="73"/>
      <c r="F841" s="285"/>
      <c r="G841" s="73"/>
      <c r="H841" s="286"/>
      <c r="I841" s="27"/>
      <c r="N841" s="5"/>
      <c r="O841" s="183"/>
    </row>
    <row r="842">
      <c r="E842" s="73"/>
      <c r="F842" s="285"/>
      <c r="G842" s="73"/>
      <c r="H842" s="286"/>
      <c r="I842" s="27"/>
      <c r="N842" s="5"/>
      <c r="O842" s="183"/>
    </row>
    <row r="843">
      <c r="E843" s="73"/>
      <c r="F843" s="285"/>
      <c r="G843" s="73"/>
      <c r="H843" s="286"/>
      <c r="I843" s="27"/>
      <c r="N843" s="5"/>
      <c r="O843" s="183"/>
    </row>
    <row r="844">
      <c r="E844" s="73"/>
      <c r="F844" s="285"/>
      <c r="G844" s="73"/>
      <c r="H844" s="286"/>
      <c r="I844" s="27"/>
      <c r="N844" s="5"/>
      <c r="O844" s="183"/>
    </row>
    <row r="845">
      <c r="E845" s="73"/>
      <c r="F845" s="285"/>
      <c r="G845" s="73"/>
      <c r="H845" s="286"/>
      <c r="I845" s="27"/>
      <c r="N845" s="5"/>
      <c r="O845" s="183"/>
    </row>
    <row r="846">
      <c r="E846" s="73"/>
      <c r="F846" s="285"/>
      <c r="G846" s="73"/>
      <c r="H846" s="286"/>
      <c r="I846" s="27"/>
      <c r="N846" s="5"/>
      <c r="O846" s="183"/>
    </row>
    <row r="847">
      <c r="E847" s="73"/>
      <c r="F847" s="285"/>
      <c r="G847" s="73"/>
      <c r="H847" s="286"/>
      <c r="I847" s="27"/>
      <c r="N847" s="5"/>
      <c r="O847" s="183"/>
    </row>
    <row r="848">
      <c r="E848" s="73"/>
      <c r="F848" s="285"/>
      <c r="G848" s="73"/>
      <c r="H848" s="286"/>
      <c r="I848" s="27"/>
      <c r="N848" s="5"/>
      <c r="O848" s="183"/>
    </row>
    <row r="849">
      <c r="E849" s="73"/>
      <c r="F849" s="285"/>
      <c r="G849" s="73"/>
      <c r="H849" s="286"/>
      <c r="I849" s="27"/>
      <c r="N849" s="5"/>
      <c r="O849" s="183"/>
    </row>
    <row r="850">
      <c r="E850" s="73"/>
      <c r="F850" s="285"/>
      <c r="G850" s="73"/>
      <c r="H850" s="286"/>
      <c r="I850" s="27"/>
      <c r="N850" s="5"/>
      <c r="O850" s="183"/>
    </row>
    <row r="851">
      <c r="E851" s="73"/>
      <c r="F851" s="285"/>
      <c r="G851" s="73"/>
      <c r="H851" s="286"/>
      <c r="I851" s="27"/>
      <c r="N851" s="5"/>
      <c r="O851" s="183"/>
    </row>
    <row r="852">
      <c r="E852" s="73"/>
      <c r="F852" s="285"/>
      <c r="G852" s="73"/>
      <c r="H852" s="286"/>
      <c r="I852" s="27"/>
      <c r="N852" s="5"/>
      <c r="O852" s="183"/>
    </row>
    <row r="853">
      <c r="E853" s="73"/>
      <c r="F853" s="285"/>
      <c r="G853" s="73"/>
      <c r="H853" s="286"/>
      <c r="I853" s="27"/>
      <c r="N853" s="5"/>
      <c r="O853" s="183"/>
    </row>
    <row r="854">
      <c r="E854" s="73"/>
      <c r="F854" s="285"/>
      <c r="G854" s="73"/>
      <c r="H854" s="286"/>
      <c r="I854" s="27"/>
      <c r="N854" s="5"/>
      <c r="O854" s="183"/>
    </row>
  </sheetData>
  <mergeCells count="15">
    <mergeCell ref="A15:I15"/>
    <mergeCell ref="A17:B22"/>
    <mergeCell ref="A24:B29"/>
    <mergeCell ref="A31:B36"/>
    <mergeCell ref="A38:B43"/>
    <mergeCell ref="A45:B50"/>
    <mergeCell ref="A52:B57"/>
    <mergeCell ref="A59:B64"/>
    <mergeCell ref="K1:L1"/>
    <mergeCell ref="P1:Q1"/>
    <mergeCell ref="D3:D7"/>
    <mergeCell ref="L7:M7"/>
    <mergeCell ref="K9:L9"/>
    <mergeCell ref="L13:M13"/>
    <mergeCell ref="J15:L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2.0"/>
    <col customWidth="1" min="2" max="2" width="31.38"/>
    <col customWidth="1" min="3" max="14" width="8.88"/>
    <col customWidth="1" min="15" max="19" width="11.38"/>
  </cols>
  <sheetData>
    <row r="1" ht="22.5" customHeight="1">
      <c r="C1" s="40"/>
      <c r="D1" s="86" t="s">
        <v>268</v>
      </c>
      <c r="E1" s="30"/>
      <c r="F1" s="31"/>
      <c r="G1" s="40"/>
      <c r="H1" s="86" t="s">
        <v>73</v>
      </c>
      <c r="I1" s="31"/>
      <c r="J1" s="40"/>
      <c r="K1" s="287" t="s">
        <v>269</v>
      </c>
      <c r="L1" s="30"/>
      <c r="M1" s="30"/>
      <c r="N1" s="31"/>
      <c r="O1" s="288"/>
      <c r="Q1" s="86" t="s">
        <v>270</v>
      </c>
      <c r="R1" s="30"/>
      <c r="S1" s="30"/>
      <c r="T1" s="31"/>
      <c r="U1" s="129"/>
      <c r="Z1" s="129"/>
      <c r="AA1" s="129"/>
      <c r="AB1" s="129"/>
      <c r="AC1" s="129"/>
      <c r="AD1" s="129"/>
    </row>
    <row r="2" ht="22.5" customHeight="1">
      <c r="A2" s="89" t="s">
        <v>114</v>
      </c>
      <c r="B2" s="89" t="s">
        <v>115</v>
      </c>
      <c r="C2" s="40"/>
      <c r="D2" s="89" t="s">
        <v>42</v>
      </c>
      <c r="E2" s="89" t="s">
        <v>116</v>
      </c>
      <c r="F2" s="45" t="s">
        <v>79</v>
      </c>
      <c r="G2" s="40"/>
      <c r="H2" s="89" t="s">
        <v>73</v>
      </c>
      <c r="I2" s="89" t="s">
        <v>79</v>
      </c>
      <c r="J2" s="40"/>
      <c r="K2" s="89"/>
      <c r="L2" s="89" t="s">
        <v>79</v>
      </c>
      <c r="M2" s="1" t="s">
        <v>98</v>
      </c>
      <c r="N2" s="1" t="s">
        <v>271</v>
      </c>
      <c r="Q2" s="289"/>
      <c r="R2" s="89" t="s">
        <v>79</v>
      </c>
      <c r="S2" s="1" t="s">
        <v>98</v>
      </c>
      <c r="T2" s="1" t="s">
        <v>271</v>
      </c>
      <c r="U2" s="129"/>
      <c r="Z2" s="129"/>
      <c r="AA2" s="129"/>
      <c r="AB2" s="129"/>
      <c r="AC2" s="129"/>
      <c r="AD2" s="129"/>
    </row>
    <row r="3" ht="22.5" customHeight="1">
      <c r="A3" s="13" t="s">
        <v>272</v>
      </c>
      <c r="B3" s="15">
        <f>SUM('IMPRESSÃO'!C5)</f>
        <v>0.05</v>
      </c>
      <c r="C3" s="40"/>
      <c r="D3" s="94" t="s">
        <v>7</v>
      </c>
      <c r="E3" s="13">
        <v>150.0</v>
      </c>
      <c r="F3" s="193">
        <f>SUM(PAPEL!G4)</f>
        <v>0.06062</v>
      </c>
      <c r="G3" s="40"/>
      <c r="H3" s="13" t="s">
        <v>45</v>
      </c>
      <c r="I3" s="15">
        <f>SUM(ACABAMENTO!B3)</f>
        <v>0.02</v>
      </c>
      <c r="J3" s="40"/>
      <c r="K3" s="13" t="s">
        <v>62</v>
      </c>
      <c r="L3" s="15">
        <f>SUM(ACABAMENTO!C13)</f>
        <v>0.5</v>
      </c>
      <c r="M3" s="290">
        <v>0.0</v>
      </c>
      <c r="N3" s="15">
        <f t="shared" ref="N3:N5" si="1">SUM(L3*M3)</f>
        <v>0</v>
      </c>
      <c r="O3" s="288"/>
      <c r="P3" s="288"/>
      <c r="Q3" s="291" t="s">
        <v>62</v>
      </c>
      <c r="R3" s="15">
        <f>SUM(ACABAMENTO!C21)</f>
        <v>1.25</v>
      </c>
      <c r="S3" s="290">
        <v>0.0</v>
      </c>
      <c r="T3" s="15">
        <f t="shared" ref="T3:T5" si="2">SUM(R3*S3)</f>
        <v>0</v>
      </c>
      <c r="U3" s="129"/>
      <c r="Z3" s="129"/>
      <c r="AA3" s="129"/>
      <c r="AB3" s="129"/>
      <c r="AC3" s="129"/>
      <c r="AD3" s="129"/>
    </row>
    <row r="4" ht="22.5" customHeight="1">
      <c r="A4" s="13" t="s">
        <v>273</v>
      </c>
      <c r="B4" s="45">
        <v>0.12</v>
      </c>
      <c r="C4" s="40"/>
      <c r="D4" s="54"/>
      <c r="E4" s="13">
        <v>170.0</v>
      </c>
      <c r="F4" s="196">
        <f>SUM(PAPEL!G5)</f>
        <v>0.07266</v>
      </c>
      <c r="G4" s="40"/>
      <c r="H4" s="13" t="s">
        <v>48</v>
      </c>
      <c r="I4" s="15">
        <f>SUM(ACABAMENTO!B8)</f>
        <v>0.07</v>
      </c>
      <c r="J4" s="40" t="s">
        <v>274</v>
      </c>
      <c r="K4" s="13" t="s">
        <v>63</v>
      </c>
      <c r="L4" s="15">
        <f>SUM(ACABAMENTO!C14)</f>
        <v>0.34</v>
      </c>
      <c r="M4" s="292">
        <v>0.0</v>
      </c>
      <c r="N4" s="15">
        <f t="shared" si="1"/>
        <v>0</v>
      </c>
      <c r="O4" s="197"/>
      <c r="P4" s="288"/>
      <c r="Q4" s="291" t="s">
        <v>63</v>
      </c>
      <c r="R4" s="15">
        <f>SUM(ACABAMENTO!C22)</f>
        <v>0.85</v>
      </c>
      <c r="S4" s="292">
        <v>0.0</v>
      </c>
      <c r="T4" s="15">
        <f t="shared" si="2"/>
        <v>0</v>
      </c>
      <c r="U4" s="129"/>
      <c r="Z4" s="129"/>
      <c r="AA4" s="129"/>
      <c r="AB4" s="129"/>
      <c r="AC4" s="129"/>
      <c r="AD4" s="129"/>
    </row>
    <row r="5" ht="22.5" customHeight="1">
      <c r="A5" s="13"/>
      <c r="B5" s="191"/>
      <c r="C5" s="40"/>
      <c r="D5" s="54"/>
      <c r="E5" s="13">
        <v>250.0</v>
      </c>
      <c r="F5" s="193">
        <f>SUM(PAPEL!G7)</f>
        <v>0.09458</v>
      </c>
      <c r="G5" s="293" t="s">
        <v>83</v>
      </c>
      <c r="I5" s="294"/>
      <c r="J5" s="109" t="s">
        <v>274</v>
      </c>
      <c r="K5" s="13" t="s">
        <v>65</v>
      </c>
      <c r="L5" s="15">
        <f>SUM(ACABAMENTO!C15)</f>
        <v>0.17</v>
      </c>
      <c r="M5" s="295">
        <v>500.0</v>
      </c>
      <c r="N5" s="15">
        <f t="shared" si="1"/>
        <v>85</v>
      </c>
      <c r="O5" s="288"/>
      <c r="P5" s="288"/>
      <c r="Q5" s="291" t="s">
        <v>65</v>
      </c>
      <c r="R5" s="15">
        <f>SUM(ACABAMENTO!C23)</f>
        <v>0.5</v>
      </c>
      <c r="S5" s="296">
        <v>1000.0</v>
      </c>
      <c r="T5" s="15">
        <f t="shared" si="2"/>
        <v>500</v>
      </c>
      <c r="U5" s="129"/>
      <c r="Z5" s="129"/>
      <c r="AA5" s="129"/>
      <c r="AB5" s="129"/>
      <c r="AC5" s="129"/>
      <c r="AD5" s="129"/>
    </row>
    <row r="6" ht="22.5" customHeight="1">
      <c r="A6" s="13"/>
      <c r="B6" s="191"/>
      <c r="C6" s="40"/>
      <c r="D6" s="57"/>
      <c r="E6" s="13">
        <v>300.0</v>
      </c>
      <c r="F6" s="193">
        <f>SUM(PAPEL!G8)</f>
        <v>0.06</v>
      </c>
      <c r="G6" s="40"/>
      <c r="H6" s="109"/>
      <c r="I6" s="109"/>
      <c r="J6" s="109"/>
      <c r="K6" s="40"/>
      <c r="L6" s="293" t="s">
        <v>83</v>
      </c>
      <c r="N6" s="297">
        <f>SUM(N3:N5)</f>
        <v>85</v>
      </c>
      <c r="O6" s="288"/>
      <c r="P6" s="288"/>
      <c r="Q6" s="298"/>
      <c r="R6" s="293" t="s">
        <v>83</v>
      </c>
      <c r="T6" s="299">
        <f>SUM(T3:T5)</f>
        <v>500</v>
      </c>
      <c r="U6" s="129"/>
      <c r="V6" s="129"/>
      <c r="W6" s="129"/>
      <c r="X6" s="129"/>
      <c r="Y6" s="129"/>
      <c r="Z6" s="129"/>
      <c r="AA6" s="129"/>
      <c r="AB6" s="129"/>
      <c r="AC6" s="129"/>
      <c r="AD6" s="129"/>
    </row>
    <row r="7" ht="22.5" customHeight="1">
      <c r="A7" s="86" t="s">
        <v>275</v>
      </c>
      <c r="B7" s="30"/>
      <c r="C7" s="30"/>
      <c r="D7" s="31"/>
      <c r="E7" s="40"/>
      <c r="F7" s="86" t="s">
        <v>276</v>
      </c>
      <c r="G7" s="30"/>
      <c r="H7" s="30"/>
      <c r="I7" s="31"/>
      <c r="J7" s="40"/>
      <c r="K7" s="300" t="s">
        <v>277</v>
      </c>
      <c r="L7" s="30"/>
      <c r="M7" s="30"/>
      <c r="N7" s="31"/>
      <c r="O7" s="88"/>
      <c r="P7" s="88"/>
      <c r="Q7" s="298"/>
      <c r="R7" s="301"/>
      <c r="S7" s="301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</row>
    <row r="8" ht="22.5" customHeight="1">
      <c r="A8" s="89"/>
      <c r="B8" s="89" t="s">
        <v>79</v>
      </c>
      <c r="C8" s="1" t="s">
        <v>98</v>
      </c>
      <c r="D8" s="1" t="s">
        <v>271</v>
      </c>
      <c r="E8" s="40"/>
      <c r="F8" s="89"/>
      <c r="G8" s="89" t="s">
        <v>79</v>
      </c>
      <c r="H8" s="1" t="s">
        <v>98</v>
      </c>
      <c r="I8" s="1" t="s">
        <v>271</v>
      </c>
      <c r="J8" s="40"/>
      <c r="K8" s="302" t="s">
        <v>62</v>
      </c>
      <c r="L8" s="303">
        <v>0.0</v>
      </c>
      <c r="M8" s="30"/>
      <c r="N8" s="31"/>
      <c r="P8" s="304" t="s">
        <v>71</v>
      </c>
      <c r="Q8" s="31"/>
      <c r="R8" s="40"/>
      <c r="S8" s="301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</row>
    <row r="9" ht="22.5" customHeight="1">
      <c r="A9" s="13" t="s">
        <v>62</v>
      </c>
      <c r="B9" s="15">
        <f>SUM(ACABAMENTO!C29)</f>
        <v>0.5</v>
      </c>
      <c r="C9" s="290">
        <v>100.0</v>
      </c>
      <c r="D9" s="15">
        <f t="shared" ref="D9:D11" si="3">SUM(B9*C9)</f>
        <v>50</v>
      </c>
      <c r="E9" s="40"/>
      <c r="F9" s="13" t="s">
        <v>62</v>
      </c>
      <c r="G9" s="15">
        <f>SUM(ACABAMENTO!C35)</f>
        <v>0.5</v>
      </c>
      <c r="H9" s="290">
        <v>0.0</v>
      </c>
      <c r="I9" s="15">
        <f t="shared" ref="I9:I11" si="4">SUM(G9*H9)</f>
        <v>0</v>
      </c>
      <c r="J9" s="40"/>
      <c r="K9" s="305" t="s">
        <v>63</v>
      </c>
      <c r="L9" s="306">
        <v>0.0</v>
      </c>
      <c r="M9" s="30"/>
      <c r="N9" s="31"/>
      <c r="O9" s="288"/>
      <c r="P9" s="307" t="s">
        <v>278</v>
      </c>
      <c r="Q9" s="308">
        <f>ACABAMENTO!D41</f>
        <v>0.01023</v>
      </c>
      <c r="R9" s="301"/>
      <c r="S9" s="301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</row>
    <row r="10" ht="22.5" customHeight="1">
      <c r="A10" s="13" t="s">
        <v>63</v>
      </c>
      <c r="B10" s="15">
        <f>SUM(ACABAMENTO!C30)</f>
        <v>0.35</v>
      </c>
      <c r="C10" s="292">
        <v>0.0</v>
      </c>
      <c r="D10" s="15">
        <f t="shared" si="3"/>
        <v>0</v>
      </c>
      <c r="E10" s="40"/>
      <c r="F10" s="13" t="s">
        <v>63</v>
      </c>
      <c r="G10" s="15">
        <f>SUM(ACABAMENTO!C36)</f>
        <v>0.35</v>
      </c>
      <c r="H10" s="292">
        <v>0.0</v>
      </c>
      <c r="I10" s="15">
        <f t="shared" si="4"/>
        <v>0</v>
      </c>
      <c r="J10" s="40"/>
      <c r="K10" s="309" t="s">
        <v>65</v>
      </c>
      <c r="L10" s="310">
        <v>500.0</v>
      </c>
      <c r="M10" s="30"/>
      <c r="N10" s="31"/>
      <c r="O10" s="288"/>
      <c r="P10" s="311" t="s">
        <v>279</v>
      </c>
      <c r="Q10" s="312">
        <v>2000.0</v>
      </c>
      <c r="R10" s="301"/>
      <c r="S10" s="301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</row>
    <row r="11" ht="22.5" customHeight="1">
      <c r="A11" s="13" t="s">
        <v>65</v>
      </c>
      <c r="B11" s="15">
        <f>SUM(ACABAMENTO!C31)</f>
        <v>0.15</v>
      </c>
      <c r="C11" s="296">
        <v>0.0</v>
      </c>
      <c r="D11" s="15">
        <f t="shared" si="3"/>
        <v>0</v>
      </c>
      <c r="E11" s="40"/>
      <c r="F11" s="13" t="s">
        <v>65</v>
      </c>
      <c r="G11" s="15">
        <f>SUM(ACABAMENTO!C37)</f>
        <v>0.15</v>
      </c>
      <c r="H11" s="296">
        <v>1000.0</v>
      </c>
      <c r="I11" s="15">
        <f t="shared" si="4"/>
        <v>150</v>
      </c>
      <c r="J11" s="40"/>
      <c r="K11" s="40"/>
      <c r="L11" s="40"/>
      <c r="M11" s="40"/>
      <c r="N11" s="40"/>
      <c r="O11" s="288"/>
      <c r="P11" s="311" t="s">
        <v>280</v>
      </c>
      <c r="Q11" s="313">
        <f>Q9*Q10</f>
        <v>20.46</v>
      </c>
      <c r="R11" s="301"/>
      <c r="S11" s="301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</row>
    <row r="12" ht="22.5" customHeight="1">
      <c r="A12" s="40"/>
      <c r="B12" s="293" t="s">
        <v>83</v>
      </c>
      <c r="D12" s="297">
        <f>SUM(D9:D11)</f>
        <v>50</v>
      </c>
      <c r="E12" s="40"/>
      <c r="F12" s="40"/>
      <c r="G12" s="293" t="s">
        <v>83</v>
      </c>
      <c r="I12" s="297">
        <f>SUM(I9:I11)</f>
        <v>150</v>
      </c>
      <c r="J12" s="40"/>
      <c r="K12" s="40"/>
      <c r="L12" s="40"/>
      <c r="M12" s="40"/>
      <c r="N12" s="40"/>
      <c r="O12" s="288"/>
      <c r="P12" s="288"/>
      <c r="Q12" s="314"/>
      <c r="R12" s="301"/>
      <c r="S12" s="301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</row>
    <row r="13" ht="22.5" customHeight="1">
      <c r="A13" s="315" t="s">
        <v>281</v>
      </c>
      <c r="B13" s="30"/>
      <c r="C13" s="30"/>
      <c r="D13" s="30"/>
      <c r="E13" s="30"/>
      <c r="F13" s="30"/>
      <c r="G13" s="30"/>
      <c r="H13" s="30"/>
      <c r="I13" s="31"/>
      <c r="J13" s="86" t="s">
        <v>94</v>
      </c>
      <c r="K13" s="30"/>
      <c r="L13" s="30"/>
      <c r="M13" s="30"/>
      <c r="N13" s="31"/>
      <c r="O13" s="316" t="s">
        <v>282</v>
      </c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ht="21.75" customHeight="1">
      <c r="A14" s="89" t="s">
        <v>95</v>
      </c>
      <c r="B14" s="317" t="s">
        <v>96</v>
      </c>
      <c r="C14" s="318" t="s">
        <v>98</v>
      </c>
      <c r="D14" s="89" t="s">
        <v>283</v>
      </c>
      <c r="E14" s="45" t="s">
        <v>284</v>
      </c>
      <c r="F14" s="15" t="s">
        <v>99</v>
      </c>
      <c r="G14" s="319" t="s">
        <v>100</v>
      </c>
      <c r="H14" s="320" t="s">
        <v>131</v>
      </c>
      <c r="I14" s="195" t="s">
        <v>285</v>
      </c>
      <c r="J14" s="89" t="s">
        <v>286</v>
      </c>
      <c r="K14" s="89" t="s">
        <v>101</v>
      </c>
      <c r="L14" s="89" t="s">
        <v>74</v>
      </c>
      <c r="M14" s="89" t="s">
        <v>287</v>
      </c>
      <c r="N14" s="90" t="s">
        <v>288</v>
      </c>
      <c r="O14" s="321" t="s">
        <v>133</v>
      </c>
      <c r="P14" s="321" t="s">
        <v>289</v>
      </c>
      <c r="Q14" s="289" t="s">
        <v>134</v>
      </c>
      <c r="R14" s="89" t="s">
        <v>135</v>
      </c>
      <c r="S14" s="89" t="s">
        <v>103</v>
      </c>
      <c r="T14" s="322"/>
      <c r="U14" s="322"/>
      <c r="V14" s="322"/>
      <c r="W14" s="322"/>
      <c r="X14" s="322"/>
      <c r="Y14" s="322"/>
      <c r="Z14" s="322"/>
      <c r="AA14" s="322"/>
      <c r="AB14" s="322"/>
      <c r="AC14" s="322"/>
      <c r="AD14" s="322"/>
    </row>
    <row r="15" ht="22.5" customHeight="1">
      <c r="A15" s="323" t="s">
        <v>290</v>
      </c>
      <c r="B15" s="324" t="s">
        <v>291</v>
      </c>
      <c r="C15" s="165">
        <v>500.0</v>
      </c>
      <c r="D15" s="325">
        <v>4.0</v>
      </c>
      <c r="E15" s="326">
        <f t="shared" ref="E15:E16" si="5">SUM(((C15*D15)/4)*2)</f>
        <v>1000</v>
      </c>
      <c r="F15" s="253">
        <f>SUM(E15*B3)</f>
        <v>50</v>
      </c>
      <c r="G15" s="167">
        <f t="shared" ref="G15:G16" si="6">SUM(E15/2)</f>
        <v>500</v>
      </c>
      <c r="H15" s="327">
        <v>0.06</v>
      </c>
      <c r="I15" s="169">
        <f t="shared" ref="I15:I16" si="7">SUM(G15*H15)</f>
        <v>30</v>
      </c>
      <c r="J15" s="166">
        <v>0.0</v>
      </c>
      <c r="K15" s="328">
        <v>0.0</v>
      </c>
      <c r="L15" s="328">
        <v>0.0</v>
      </c>
      <c r="M15" s="329">
        <v>0.0</v>
      </c>
      <c r="N15" s="329">
        <v>0.0</v>
      </c>
      <c r="O15" s="330">
        <f t="shared" ref="O15:O16" si="8">SUM(F15+I15+J15+K15+L15+M15+N15)</f>
        <v>80</v>
      </c>
      <c r="P15" s="330"/>
      <c r="Q15" s="331">
        <v>2.0</v>
      </c>
      <c r="R15" s="330">
        <f t="shared" ref="R15:R16" si="9">SUM((O15*Q15)+O15)</f>
        <v>240</v>
      </c>
      <c r="S15" s="170">
        <f t="shared" ref="S15:S16" si="10">SUM(R15/C15)</f>
        <v>0.48</v>
      </c>
      <c r="T15" s="332" t="s">
        <v>292</v>
      </c>
    </row>
    <row r="16" ht="22.5" customHeight="1">
      <c r="A16" s="323" t="s">
        <v>290</v>
      </c>
      <c r="B16" s="324" t="s">
        <v>293</v>
      </c>
      <c r="C16" s="165">
        <v>500.0</v>
      </c>
      <c r="D16" s="333">
        <v>48.0</v>
      </c>
      <c r="E16" s="326">
        <f t="shared" si="5"/>
        <v>12000</v>
      </c>
      <c r="F16" s="253">
        <f>SUM(E16*B3)</f>
        <v>600</v>
      </c>
      <c r="G16" s="167">
        <f t="shared" si="6"/>
        <v>6000</v>
      </c>
      <c r="H16" s="327">
        <v>0.06</v>
      </c>
      <c r="I16" s="169">
        <f t="shared" si="7"/>
        <v>360</v>
      </c>
      <c r="J16" s="166">
        <v>10.0</v>
      </c>
      <c r="K16" s="328">
        <v>0.0</v>
      </c>
      <c r="L16" s="328">
        <v>0.0</v>
      </c>
      <c r="M16" s="328">
        <v>5.12</v>
      </c>
      <c r="N16" s="329">
        <v>0.0</v>
      </c>
      <c r="O16" s="330">
        <f t="shared" si="8"/>
        <v>975.12</v>
      </c>
      <c r="P16" s="330"/>
      <c r="Q16" s="331">
        <v>3.0</v>
      </c>
      <c r="R16" s="330">
        <f t="shared" si="9"/>
        <v>3900.48</v>
      </c>
      <c r="S16" s="170">
        <f t="shared" si="10"/>
        <v>7.80096</v>
      </c>
      <c r="T16" s="334">
        <f>SUM(S15+S16)</f>
        <v>8.28096</v>
      </c>
    </row>
    <row r="17" ht="22.5" customHeight="1">
      <c r="A17" s="335"/>
      <c r="B17" s="335"/>
      <c r="C17" s="336"/>
      <c r="D17" s="335"/>
      <c r="E17" s="335"/>
      <c r="F17" s="337"/>
      <c r="G17" s="338"/>
      <c r="H17" s="338"/>
      <c r="I17" s="339"/>
      <c r="J17" s="335"/>
      <c r="K17" s="335"/>
      <c r="L17" s="335"/>
      <c r="M17" s="335"/>
      <c r="N17" s="337"/>
      <c r="O17" s="339"/>
      <c r="P17" s="339"/>
      <c r="Q17" s="340"/>
      <c r="R17" s="335"/>
      <c r="S17" s="335"/>
      <c r="T17" s="335"/>
    </row>
    <row r="18" ht="22.5" customHeight="1">
      <c r="A18" s="323" t="s">
        <v>290</v>
      </c>
      <c r="B18" s="324" t="s">
        <v>294</v>
      </c>
      <c r="C18" s="165">
        <v>500.0</v>
      </c>
      <c r="D18" s="325">
        <v>4.0</v>
      </c>
      <c r="E18" s="326">
        <f t="shared" ref="E18:E19" si="11">SUM(((C18*D18)/4)*2)</f>
        <v>1000</v>
      </c>
      <c r="F18" s="253">
        <f>SUM(E18*B3)</f>
        <v>50</v>
      </c>
      <c r="G18" s="167">
        <f t="shared" ref="G18:G19" si="12">SUM(E18/2)</f>
        <v>500</v>
      </c>
      <c r="H18" s="327">
        <v>0.11</v>
      </c>
      <c r="I18" s="169">
        <f t="shared" ref="I18:I19" si="13">SUM(G18*H18)</f>
        <v>55</v>
      </c>
      <c r="J18" s="166">
        <v>0.0</v>
      </c>
      <c r="K18" s="328">
        <v>0.0</v>
      </c>
      <c r="L18" s="328">
        <v>0.0</v>
      </c>
      <c r="M18" s="329">
        <v>0.0</v>
      </c>
      <c r="N18" s="329">
        <v>0.0</v>
      </c>
      <c r="O18" s="330">
        <f t="shared" ref="O18:O19" si="14">SUM(F18+I18+J18+K18+L18+M18+N18)</f>
        <v>105</v>
      </c>
      <c r="P18" s="330"/>
      <c r="Q18" s="331">
        <v>1.5</v>
      </c>
      <c r="R18" s="330">
        <f t="shared" ref="R18:R19" si="15">SUM((O18*Q18)+O18)</f>
        <v>262.5</v>
      </c>
      <c r="S18" s="170">
        <f t="shared" ref="S18:S19" si="16">SUM(R18/C18)</f>
        <v>0.525</v>
      </c>
      <c r="T18" s="332" t="s">
        <v>292</v>
      </c>
    </row>
    <row r="19" ht="22.5" customHeight="1">
      <c r="A19" s="323" t="s">
        <v>290</v>
      </c>
      <c r="B19" s="324" t="s">
        <v>295</v>
      </c>
      <c r="C19" s="165">
        <v>500.0</v>
      </c>
      <c r="D19" s="333">
        <v>48.0</v>
      </c>
      <c r="E19" s="326">
        <f t="shared" si="11"/>
        <v>12000</v>
      </c>
      <c r="F19" s="253">
        <f>SUM(E19*B3)</f>
        <v>600</v>
      </c>
      <c r="G19" s="167">
        <f t="shared" si="12"/>
        <v>6000</v>
      </c>
      <c r="H19" s="327">
        <v>0.06</v>
      </c>
      <c r="I19" s="169">
        <f t="shared" si="13"/>
        <v>360</v>
      </c>
      <c r="J19" s="166">
        <v>44.0</v>
      </c>
      <c r="K19" s="328">
        <v>0.0</v>
      </c>
      <c r="L19" s="328">
        <v>0.0</v>
      </c>
      <c r="M19" s="328">
        <v>5.12</v>
      </c>
      <c r="N19" s="329">
        <v>0.0</v>
      </c>
      <c r="O19" s="330">
        <f t="shared" si="14"/>
        <v>1009.12</v>
      </c>
      <c r="P19" s="330"/>
      <c r="Q19" s="331">
        <v>1.5</v>
      </c>
      <c r="R19" s="330">
        <f t="shared" si="15"/>
        <v>2522.8</v>
      </c>
      <c r="S19" s="170">
        <f t="shared" si="16"/>
        <v>5.0456</v>
      </c>
      <c r="T19" s="334">
        <f>SUM(S18+S19)</f>
        <v>5.5706</v>
      </c>
    </row>
    <row r="20" ht="22.5" customHeight="1">
      <c r="A20" s="335"/>
      <c r="B20" s="335"/>
      <c r="C20" s="336"/>
      <c r="D20" s="335"/>
      <c r="E20" s="335"/>
      <c r="F20" s="337"/>
      <c r="G20" s="338"/>
      <c r="H20" s="338"/>
      <c r="I20" s="339"/>
      <c r="J20" s="335"/>
      <c r="K20" s="335"/>
      <c r="L20" s="335"/>
      <c r="M20" s="335"/>
      <c r="N20" s="337"/>
      <c r="O20" s="339"/>
      <c r="P20" s="339"/>
      <c r="Q20" s="340"/>
      <c r="R20" s="335"/>
      <c r="S20" s="335"/>
      <c r="T20" s="335"/>
    </row>
    <row r="21" ht="22.5" customHeight="1">
      <c r="A21" s="323" t="s">
        <v>290</v>
      </c>
      <c r="B21" s="324" t="s">
        <v>296</v>
      </c>
      <c r="C21" s="165">
        <v>500.0</v>
      </c>
      <c r="D21" s="325">
        <v>4.0</v>
      </c>
      <c r="E21" s="326">
        <f t="shared" ref="E21:E22" si="17">SUM(((C21*D21)/4)*2)</f>
        <v>1000</v>
      </c>
      <c r="F21" s="253">
        <f>SUM(E21*B3)</f>
        <v>50</v>
      </c>
      <c r="G21" s="167">
        <f t="shared" ref="G21:G22" si="18">SUM(E21/2)</f>
        <v>500</v>
      </c>
      <c r="H21" s="327">
        <v>0.11</v>
      </c>
      <c r="I21" s="169">
        <f t="shared" ref="I21:I22" si="19">SUM(G21*H21)</f>
        <v>55</v>
      </c>
      <c r="J21" s="166">
        <v>0.0</v>
      </c>
      <c r="K21" s="328">
        <v>0.0</v>
      </c>
      <c r="L21" s="328">
        <v>0.0</v>
      </c>
      <c r="M21" s="329">
        <v>0.0</v>
      </c>
      <c r="N21" s="329">
        <v>0.0</v>
      </c>
      <c r="O21" s="330">
        <f t="shared" ref="O21:O22" si="20">SUM(F21+I21+J21+K21+L21+M21+N21)</f>
        <v>105</v>
      </c>
      <c r="P21" s="330"/>
      <c r="Q21" s="331">
        <v>1.5</v>
      </c>
      <c r="R21" s="330">
        <f t="shared" ref="R21:R22" si="21">SUM((O21*Q21)+O21)</f>
        <v>262.5</v>
      </c>
      <c r="S21" s="170">
        <f t="shared" ref="S21:S22" si="22">SUM(R21/C21)</f>
        <v>0.525</v>
      </c>
      <c r="T21" s="332" t="s">
        <v>292</v>
      </c>
    </row>
    <row r="22" ht="22.5" customHeight="1">
      <c r="A22" s="323" t="s">
        <v>290</v>
      </c>
      <c r="B22" s="324" t="s">
        <v>297</v>
      </c>
      <c r="C22" s="165">
        <v>500.0</v>
      </c>
      <c r="D22" s="333">
        <v>48.0</v>
      </c>
      <c r="E22" s="326">
        <f t="shared" si="17"/>
        <v>12000</v>
      </c>
      <c r="F22" s="253">
        <f>SUM(E22*B3)</f>
        <v>600</v>
      </c>
      <c r="G22" s="167">
        <f t="shared" si="18"/>
        <v>6000</v>
      </c>
      <c r="H22" s="327">
        <v>0.06</v>
      </c>
      <c r="I22" s="169">
        <f t="shared" si="19"/>
        <v>360</v>
      </c>
      <c r="J22" s="166">
        <v>44.0</v>
      </c>
      <c r="K22" s="328">
        <v>0.0</v>
      </c>
      <c r="L22" s="328">
        <v>0.0</v>
      </c>
      <c r="M22" s="328">
        <v>5.12</v>
      </c>
      <c r="N22" s="329">
        <v>0.0</v>
      </c>
      <c r="O22" s="330">
        <f t="shared" si="20"/>
        <v>1009.12</v>
      </c>
      <c r="P22" s="330"/>
      <c r="Q22" s="331">
        <v>1.5</v>
      </c>
      <c r="R22" s="330">
        <f t="shared" si="21"/>
        <v>2522.8</v>
      </c>
      <c r="S22" s="170">
        <f t="shared" si="22"/>
        <v>5.0456</v>
      </c>
      <c r="T22" s="334">
        <f>SUM(S21+S22)</f>
        <v>5.5706</v>
      </c>
    </row>
    <row r="23" ht="22.5" customHeight="1">
      <c r="A23" s="341"/>
      <c r="B23" s="341"/>
      <c r="C23" s="342"/>
      <c r="D23" s="341"/>
      <c r="E23" s="341"/>
      <c r="F23" s="343"/>
      <c r="G23" s="344"/>
      <c r="H23" s="344"/>
      <c r="I23" s="345"/>
      <c r="J23" s="341"/>
      <c r="K23" s="341"/>
      <c r="L23" s="341"/>
      <c r="M23" s="341"/>
      <c r="N23" s="343"/>
      <c r="O23" s="345"/>
      <c r="P23" s="345"/>
      <c r="Q23" s="346"/>
      <c r="R23" s="341"/>
      <c r="S23" s="341"/>
      <c r="T23" s="341"/>
    </row>
    <row r="24" ht="22.5" customHeight="1">
      <c r="A24" s="323" t="s">
        <v>145</v>
      </c>
      <c r="B24" s="324" t="s">
        <v>298</v>
      </c>
      <c r="C24" s="165">
        <v>300.0</v>
      </c>
      <c r="D24" s="333">
        <v>28.0</v>
      </c>
      <c r="E24" s="326">
        <f>SUM(((C24*D24)/4)*2)</f>
        <v>4200</v>
      </c>
      <c r="F24" s="253">
        <f>SUM(E24*B3)</f>
        <v>210</v>
      </c>
      <c r="G24" s="167">
        <f>SUM(E24/2)</f>
        <v>2100</v>
      </c>
      <c r="H24" s="327">
        <v>0.06</v>
      </c>
      <c r="I24" s="169">
        <f>SUM(G24*H24)</f>
        <v>126</v>
      </c>
      <c r="J24" s="166">
        <v>15.0</v>
      </c>
      <c r="K24" s="328">
        <v>0.0</v>
      </c>
      <c r="L24" s="328">
        <v>0.0</v>
      </c>
      <c r="M24" s="328">
        <v>105.0</v>
      </c>
      <c r="N24" s="329">
        <v>0.0</v>
      </c>
      <c r="O24" s="330">
        <f>SUM(F24+I24+J24+K24+L24+M24+N24)</f>
        <v>456</v>
      </c>
      <c r="P24" s="330"/>
      <c r="Q24" s="331">
        <v>2.0</v>
      </c>
      <c r="R24" s="330">
        <f>SUM((O24*Q24)+O24)</f>
        <v>1368</v>
      </c>
      <c r="S24" s="170">
        <f>SUM(R24/C24)</f>
        <v>4.56</v>
      </c>
    </row>
    <row r="25" ht="22.5" customHeight="1">
      <c r="A25" s="341"/>
      <c r="B25" s="341"/>
      <c r="C25" s="342"/>
      <c r="D25" s="341"/>
      <c r="E25" s="341"/>
      <c r="F25" s="343"/>
      <c r="G25" s="344"/>
      <c r="H25" s="344"/>
      <c r="I25" s="345"/>
      <c r="J25" s="341"/>
      <c r="K25" s="341"/>
      <c r="L25" s="341"/>
      <c r="M25" s="341"/>
      <c r="N25" s="343"/>
      <c r="O25" s="345"/>
      <c r="P25" s="345"/>
      <c r="Q25" s="346"/>
      <c r="R25" s="341"/>
      <c r="S25" s="341"/>
      <c r="T25" s="341"/>
    </row>
    <row r="26" ht="22.5" customHeight="1">
      <c r="A26" s="323" t="s">
        <v>145</v>
      </c>
      <c r="B26" s="324" t="s">
        <v>299</v>
      </c>
      <c r="C26" s="165">
        <v>250.0</v>
      </c>
      <c r="D26" s="333">
        <v>44.0</v>
      </c>
      <c r="E26" s="326">
        <f>SUM(((C26*D26)/4)*2)</f>
        <v>5500</v>
      </c>
      <c r="F26" s="253">
        <f>SUM(E26*B3)</f>
        <v>275</v>
      </c>
      <c r="G26" s="167">
        <f>SUM(E26/2)</f>
        <v>2750</v>
      </c>
      <c r="H26" s="327">
        <v>0.073</v>
      </c>
      <c r="I26" s="169">
        <f>SUM(G26*H26)</f>
        <v>200.75</v>
      </c>
      <c r="J26" s="166">
        <v>15.0</v>
      </c>
      <c r="K26" s="328">
        <v>0.0</v>
      </c>
      <c r="L26" s="328">
        <v>0.0</v>
      </c>
      <c r="M26" s="328">
        <v>87.5</v>
      </c>
      <c r="N26" s="329">
        <v>0.0</v>
      </c>
      <c r="O26" s="330">
        <f>SUM(F26+I26+J26+K26+L26+M26+N26)</f>
        <v>578.25</v>
      </c>
      <c r="P26" s="330"/>
      <c r="Q26" s="331">
        <v>2.0</v>
      </c>
      <c r="R26" s="330">
        <f>SUM((O26*Q26)+O26)</f>
        <v>1734.75</v>
      </c>
      <c r="S26" s="170">
        <f>SUM(R26/C26)</f>
        <v>6.939</v>
      </c>
    </row>
    <row r="27" ht="22.5" customHeight="1">
      <c r="A27" s="335"/>
      <c r="B27" s="335"/>
      <c r="C27" s="336"/>
      <c r="D27" s="335"/>
      <c r="E27" s="335"/>
      <c r="F27" s="337"/>
      <c r="G27" s="338"/>
      <c r="H27" s="338"/>
      <c r="I27" s="339"/>
      <c r="J27" s="335"/>
      <c r="K27" s="335"/>
      <c r="L27" s="335"/>
      <c r="M27" s="335"/>
      <c r="N27" s="337"/>
      <c r="O27" s="339"/>
      <c r="P27" s="339"/>
      <c r="Q27" s="340"/>
      <c r="R27" s="335"/>
      <c r="S27" s="335"/>
      <c r="T27" s="335"/>
    </row>
    <row r="28" ht="22.5" customHeight="1">
      <c r="A28" s="323" t="s">
        <v>300</v>
      </c>
      <c r="B28" s="324" t="s">
        <v>301</v>
      </c>
      <c r="C28" s="165">
        <v>1000.0</v>
      </c>
      <c r="D28" s="325">
        <v>4.0</v>
      </c>
      <c r="E28" s="326">
        <f t="shared" ref="E28:E31" si="23">SUM(((C28*D28)/4)*2)</f>
        <v>2000</v>
      </c>
      <c r="F28" s="253">
        <f>SUM(E28*B3)</f>
        <v>100</v>
      </c>
      <c r="G28" s="167">
        <f t="shared" ref="G28:G31" si="24">SUM(E28/2)</f>
        <v>1000</v>
      </c>
      <c r="H28" s="327">
        <v>0.11</v>
      </c>
      <c r="I28" s="169">
        <f t="shared" ref="I28:I31" si="25">SUM(G28*H28)</f>
        <v>110</v>
      </c>
      <c r="J28" s="166">
        <v>0.0</v>
      </c>
      <c r="K28" s="328">
        <v>0.0</v>
      </c>
      <c r="L28" s="328">
        <v>0.0</v>
      </c>
      <c r="M28" s="329">
        <v>0.0</v>
      </c>
      <c r="N28" s="329">
        <v>0.0</v>
      </c>
      <c r="O28" s="330">
        <f t="shared" ref="O28:O31" si="26">SUM(F28+I28+J28+K28+L28+M28+N28)</f>
        <v>210</v>
      </c>
      <c r="P28" s="330">
        <f t="shared" ref="P28:P31" si="27">O28/C28</f>
        <v>0.21</v>
      </c>
      <c r="Q28" s="331">
        <v>2.0</v>
      </c>
      <c r="R28" s="330">
        <f t="shared" ref="R28:R31" si="28">SUM((O28*Q28)+O28)</f>
        <v>630</v>
      </c>
      <c r="S28" s="170">
        <f t="shared" ref="S28:S31" si="29">SUM(R28/C28)</f>
        <v>0.63</v>
      </c>
      <c r="T28" s="332" t="s">
        <v>292</v>
      </c>
    </row>
    <row r="29" ht="22.5" customHeight="1">
      <c r="A29" s="323" t="s">
        <v>300</v>
      </c>
      <c r="B29" s="324" t="s">
        <v>302</v>
      </c>
      <c r="C29" s="165">
        <v>1000.0</v>
      </c>
      <c r="D29" s="333">
        <v>32.0</v>
      </c>
      <c r="E29" s="326">
        <f t="shared" si="23"/>
        <v>16000</v>
      </c>
      <c r="F29" s="253">
        <f>SUM(E29*B3)</f>
        <v>800</v>
      </c>
      <c r="G29" s="167">
        <f t="shared" si="24"/>
        <v>8000</v>
      </c>
      <c r="H29" s="327">
        <v>0.06</v>
      </c>
      <c r="I29" s="169">
        <f t="shared" si="25"/>
        <v>480</v>
      </c>
      <c r="J29" s="166">
        <v>44.0</v>
      </c>
      <c r="K29" s="328">
        <v>170.0</v>
      </c>
      <c r="L29" s="328">
        <v>0.0</v>
      </c>
      <c r="M29" s="328">
        <v>10.23</v>
      </c>
      <c r="N29" s="329">
        <v>0.0</v>
      </c>
      <c r="O29" s="330">
        <f t="shared" si="26"/>
        <v>1504.23</v>
      </c>
      <c r="P29" s="330">
        <f t="shared" si="27"/>
        <v>1.50423</v>
      </c>
      <c r="Q29" s="331">
        <v>2.0</v>
      </c>
      <c r="R29" s="330">
        <f t="shared" si="28"/>
        <v>4512.69</v>
      </c>
      <c r="S29" s="170">
        <f t="shared" si="29"/>
        <v>4.51269</v>
      </c>
      <c r="T29" s="334">
        <f>SUM(S28+S29)</f>
        <v>5.14269</v>
      </c>
    </row>
    <row r="30" ht="22.5" customHeight="1">
      <c r="A30" s="323" t="s">
        <v>300</v>
      </c>
      <c r="B30" s="324" t="s">
        <v>303</v>
      </c>
      <c r="C30" s="165">
        <v>250.0</v>
      </c>
      <c r="D30" s="325">
        <v>4.0</v>
      </c>
      <c r="E30" s="326">
        <f t="shared" si="23"/>
        <v>500</v>
      </c>
      <c r="F30" s="253">
        <f>SUM(E30*B3)</f>
        <v>25</v>
      </c>
      <c r="G30" s="167">
        <f t="shared" si="24"/>
        <v>250</v>
      </c>
      <c r="H30" s="327">
        <v>0.09</v>
      </c>
      <c r="I30" s="169">
        <f t="shared" si="25"/>
        <v>22.5</v>
      </c>
      <c r="J30" s="166">
        <v>0.0</v>
      </c>
      <c r="K30" s="328">
        <v>0.0</v>
      </c>
      <c r="L30" s="328">
        <v>0.0</v>
      </c>
      <c r="M30" s="329">
        <v>0.0</v>
      </c>
      <c r="N30" s="329">
        <v>0.0</v>
      </c>
      <c r="O30" s="330">
        <f t="shared" si="26"/>
        <v>47.5</v>
      </c>
      <c r="P30" s="330">
        <f t="shared" si="27"/>
        <v>0.19</v>
      </c>
      <c r="Q30" s="331">
        <v>1.5</v>
      </c>
      <c r="R30" s="330">
        <f t="shared" si="28"/>
        <v>118.75</v>
      </c>
      <c r="S30" s="170">
        <f t="shared" si="29"/>
        <v>0.475</v>
      </c>
      <c r="T30" s="332" t="s">
        <v>292</v>
      </c>
    </row>
    <row r="31" ht="22.5" customHeight="1">
      <c r="A31" s="323" t="s">
        <v>300</v>
      </c>
      <c r="B31" s="324" t="s">
        <v>302</v>
      </c>
      <c r="C31" s="165">
        <v>250.0</v>
      </c>
      <c r="D31" s="333">
        <v>54.0</v>
      </c>
      <c r="E31" s="326">
        <f t="shared" si="23"/>
        <v>6750</v>
      </c>
      <c r="F31" s="253">
        <f>SUM(E31*B3)</f>
        <v>337.5</v>
      </c>
      <c r="G31" s="167">
        <f t="shared" si="24"/>
        <v>3375</v>
      </c>
      <c r="H31" s="327">
        <v>0.06</v>
      </c>
      <c r="I31" s="169">
        <f t="shared" si="25"/>
        <v>202.5</v>
      </c>
      <c r="J31" s="166">
        <v>15.0</v>
      </c>
      <c r="K31" s="328">
        <v>0.0</v>
      </c>
      <c r="L31" s="328">
        <v>0.0</v>
      </c>
      <c r="M31" s="328">
        <v>2.56</v>
      </c>
      <c r="N31" s="329">
        <v>0.0</v>
      </c>
      <c r="O31" s="330">
        <f t="shared" si="26"/>
        <v>557.56</v>
      </c>
      <c r="P31" s="330">
        <f t="shared" si="27"/>
        <v>2.23024</v>
      </c>
      <c r="Q31" s="331">
        <v>1.5</v>
      </c>
      <c r="R31" s="330">
        <f t="shared" si="28"/>
        <v>1393.9</v>
      </c>
      <c r="S31" s="170">
        <f t="shared" si="29"/>
        <v>5.5756</v>
      </c>
      <c r="T31" s="334">
        <f>SUM(S30+S31)</f>
        <v>6.0506</v>
      </c>
    </row>
    <row r="32" ht="22.5" customHeight="1">
      <c r="A32" s="335"/>
      <c r="B32" s="335"/>
      <c r="C32" s="336"/>
      <c r="D32" s="335"/>
      <c r="E32" s="335"/>
      <c r="F32" s="337"/>
      <c r="G32" s="338"/>
      <c r="H32" s="338"/>
      <c r="I32" s="339"/>
      <c r="J32" s="335"/>
      <c r="K32" s="335"/>
      <c r="L32" s="335"/>
      <c r="M32" s="335"/>
      <c r="N32" s="337"/>
      <c r="O32" s="339"/>
      <c r="P32" s="339"/>
      <c r="Q32" s="340"/>
      <c r="R32" s="335"/>
      <c r="S32" s="335"/>
      <c r="T32" s="335"/>
    </row>
    <row r="33" ht="22.5" customHeight="1">
      <c r="A33" s="323" t="s">
        <v>304</v>
      </c>
      <c r="B33" s="324" t="s">
        <v>303</v>
      </c>
      <c r="C33" s="165">
        <v>500.0</v>
      </c>
      <c r="D33" s="333">
        <v>4.0</v>
      </c>
      <c r="E33" s="326">
        <f t="shared" ref="E33:E34" si="30">SUM(((C33*D33)/4)*2)</f>
        <v>1000</v>
      </c>
      <c r="F33" s="253">
        <f>SUM(E33*B3)</f>
        <v>50</v>
      </c>
      <c r="G33" s="167">
        <f t="shared" ref="G33:G34" si="31">SUM(E33/2)</f>
        <v>500</v>
      </c>
      <c r="H33" s="347">
        <v>0.095</v>
      </c>
      <c r="I33" s="169">
        <f t="shared" ref="I33:I34" si="32">SUM(G33*H33)</f>
        <v>47.5</v>
      </c>
      <c r="J33" s="166">
        <v>0.0</v>
      </c>
      <c r="K33" s="328">
        <v>0.0</v>
      </c>
      <c r="L33" s="328">
        <v>0.0</v>
      </c>
      <c r="M33" s="329">
        <v>0.0</v>
      </c>
      <c r="N33" s="329">
        <v>0.0</v>
      </c>
      <c r="O33" s="330">
        <f t="shared" ref="O33:O34" si="33">SUM(F33+I33+J33+K33+L33+M33+N33)</f>
        <v>97.5</v>
      </c>
      <c r="P33" s="330">
        <f t="shared" ref="P33:P34" si="34">O33/C33</f>
        <v>0.195</v>
      </c>
      <c r="Q33" s="331">
        <v>2.0</v>
      </c>
      <c r="R33" s="330">
        <f t="shared" ref="R33:R34" si="35">SUM((O33*Q33)+O33)</f>
        <v>292.5</v>
      </c>
      <c r="S33" s="170">
        <f t="shared" ref="S33:S34" si="36">SUM(R33/C33)</f>
        <v>0.585</v>
      </c>
      <c r="T33" s="332" t="s">
        <v>292</v>
      </c>
    </row>
    <row r="34" ht="22.5" customHeight="1">
      <c r="A34" s="323" t="s">
        <v>304</v>
      </c>
      <c r="B34" s="324" t="s">
        <v>305</v>
      </c>
      <c r="C34" s="165">
        <v>500.0</v>
      </c>
      <c r="D34" s="333">
        <v>20.0</v>
      </c>
      <c r="E34" s="326">
        <f t="shared" si="30"/>
        <v>5000</v>
      </c>
      <c r="F34" s="253">
        <f>SUM(E34*B3)</f>
        <v>250</v>
      </c>
      <c r="G34" s="167">
        <f t="shared" si="31"/>
        <v>2500</v>
      </c>
      <c r="H34" s="347">
        <v>0.21</v>
      </c>
      <c r="I34" s="169">
        <f t="shared" si="32"/>
        <v>525</v>
      </c>
      <c r="J34" s="166">
        <v>44.0</v>
      </c>
      <c r="K34" s="328">
        <v>0.0</v>
      </c>
      <c r="L34" s="328">
        <v>0.0</v>
      </c>
      <c r="M34" s="328">
        <v>10.23</v>
      </c>
      <c r="N34" s="329">
        <v>0.0</v>
      </c>
      <c r="O34" s="330">
        <f t="shared" si="33"/>
        <v>829.23</v>
      </c>
      <c r="P34" s="330">
        <f t="shared" si="34"/>
        <v>1.65846</v>
      </c>
      <c r="Q34" s="331">
        <v>2.0</v>
      </c>
      <c r="R34" s="330">
        <f t="shared" si="35"/>
        <v>2487.69</v>
      </c>
      <c r="S34" s="170">
        <f t="shared" si="36"/>
        <v>4.97538</v>
      </c>
      <c r="T34" s="334">
        <f>SUM(S33+S34)</f>
        <v>5.56038</v>
      </c>
    </row>
    <row r="35" ht="22.5" customHeight="1">
      <c r="A35" s="335"/>
      <c r="B35" s="335"/>
      <c r="C35" s="336"/>
      <c r="D35" s="335"/>
      <c r="E35" s="335"/>
      <c r="F35" s="337"/>
      <c r="G35" s="338"/>
      <c r="H35" s="338"/>
      <c r="I35" s="339"/>
      <c r="J35" s="335"/>
      <c r="K35" s="335"/>
      <c r="L35" s="335"/>
      <c r="M35" s="335"/>
      <c r="N35" s="337"/>
      <c r="O35" s="339"/>
      <c r="P35" s="339"/>
      <c r="Q35" s="340"/>
      <c r="R35" s="335"/>
      <c r="S35" s="335"/>
      <c r="T35" s="335"/>
    </row>
    <row r="36" ht="22.5" customHeight="1">
      <c r="A36" s="323" t="s">
        <v>306</v>
      </c>
      <c r="B36" s="324" t="s">
        <v>307</v>
      </c>
      <c r="C36" s="165">
        <v>1000.0</v>
      </c>
      <c r="D36" s="333">
        <v>4.0</v>
      </c>
      <c r="E36" s="326">
        <f t="shared" ref="E36:E37" si="37">SUM(((C36*D36)/4)*2)</f>
        <v>2000</v>
      </c>
      <c r="F36" s="253">
        <f>SUM(E36*B3)</f>
        <v>100</v>
      </c>
      <c r="G36" s="167">
        <f t="shared" ref="G36:G37" si="38">SUM(E36/2)</f>
        <v>1000</v>
      </c>
      <c r="H36" s="347">
        <v>0.06</v>
      </c>
      <c r="I36" s="169">
        <f t="shared" ref="I36:I37" si="39">SUM(G36*H36)</f>
        <v>60</v>
      </c>
      <c r="J36" s="166">
        <v>44.0</v>
      </c>
      <c r="K36" s="328">
        <v>0.0</v>
      </c>
      <c r="L36" s="328">
        <v>0.0</v>
      </c>
      <c r="M36" s="328">
        <v>225.0</v>
      </c>
      <c r="N36" s="329">
        <v>0.0</v>
      </c>
      <c r="O36" s="330">
        <f t="shared" ref="O36:O37" si="40">SUM(F36+I36+J36+K36+L36+M36+N36)</f>
        <v>429</v>
      </c>
      <c r="P36" s="330">
        <f t="shared" ref="P36:P37" si="41">O36/C36</f>
        <v>0.429</v>
      </c>
      <c r="Q36" s="331">
        <v>0.5</v>
      </c>
      <c r="R36" s="330">
        <f t="shared" ref="R36:R37" si="42">SUM((O36*Q36)+O36)</f>
        <v>643.5</v>
      </c>
      <c r="S36" s="170">
        <f t="shared" ref="S36:S37" si="43">SUM(R36/C36)</f>
        <v>0.6435</v>
      </c>
      <c r="T36" s="332" t="s">
        <v>292</v>
      </c>
    </row>
    <row r="37" ht="22.5" customHeight="1">
      <c r="A37" s="323" t="s">
        <v>308</v>
      </c>
      <c r="B37" s="324" t="s">
        <v>307</v>
      </c>
      <c r="C37" s="165">
        <v>1000.0</v>
      </c>
      <c r="D37" s="333">
        <v>4.0</v>
      </c>
      <c r="E37" s="326">
        <f t="shared" si="37"/>
        <v>2000</v>
      </c>
      <c r="F37" s="253">
        <f>SUM(E37*B3)</f>
        <v>100</v>
      </c>
      <c r="G37" s="167">
        <f t="shared" si="38"/>
        <v>1000</v>
      </c>
      <c r="H37" s="347">
        <v>0.06</v>
      </c>
      <c r="I37" s="169">
        <f t="shared" si="39"/>
        <v>60</v>
      </c>
      <c r="J37" s="166">
        <v>44.0</v>
      </c>
      <c r="K37" s="328">
        <v>0.0</v>
      </c>
      <c r="L37" s="328">
        <v>0.0</v>
      </c>
      <c r="M37" s="328">
        <v>225.0</v>
      </c>
      <c r="N37" s="329">
        <v>0.0</v>
      </c>
      <c r="O37" s="330">
        <f t="shared" si="40"/>
        <v>429</v>
      </c>
      <c r="P37" s="330">
        <f t="shared" si="41"/>
        <v>0.429</v>
      </c>
      <c r="Q37" s="331">
        <v>0.5</v>
      </c>
      <c r="R37" s="330">
        <f t="shared" si="42"/>
        <v>643.5</v>
      </c>
      <c r="S37" s="170">
        <f t="shared" si="43"/>
        <v>0.6435</v>
      </c>
      <c r="T37" s="334">
        <f>SUM(S36+S37)</f>
        <v>1.287</v>
      </c>
    </row>
    <row r="38" ht="22.5" customHeight="1">
      <c r="A38" s="335"/>
      <c r="B38" s="335"/>
      <c r="C38" s="336"/>
      <c r="D38" s="335"/>
      <c r="E38" s="335"/>
      <c r="F38" s="337"/>
      <c r="G38" s="338"/>
      <c r="H38" s="338"/>
      <c r="I38" s="339"/>
      <c r="J38" s="335"/>
      <c r="K38" s="335"/>
      <c r="L38" s="335"/>
      <c r="M38" s="335"/>
      <c r="N38" s="337"/>
      <c r="O38" s="339"/>
      <c r="P38" s="339"/>
      <c r="Q38" s="340"/>
      <c r="R38" s="335"/>
      <c r="S38" s="335"/>
      <c r="T38" s="335"/>
    </row>
    <row r="39" ht="22.5" customHeight="1">
      <c r="A39" s="88" t="s">
        <v>309</v>
      </c>
      <c r="B39" s="88" t="s">
        <v>309</v>
      </c>
      <c r="C39" s="165">
        <v>80.0</v>
      </c>
      <c r="D39" s="333">
        <v>16.0</v>
      </c>
      <c r="E39" s="326">
        <f>SUM(((C39*D39)/4)*2)</f>
        <v>640</v>
      </c>
      <c r="F39" s="253">
        <f>SUM(E39*B3)</f>
        <v>32</v>
      </c>
      <c r="G39" s="167">
        <f>SUM(E39/2)</f>
        <v>320</v>
      </c>
      <c r="H39" s="347">
        <v>0.06</v>
      </c>
      <c r="I39" s="169">
        <f>SUM(G39*H39)</f>
        <v>19.2</v>
      </c>
      <c r="J39" s="166">
        <v>20.0</v>
      </c>
      <c r="K39" s="328">
        <v>0.0</v>
      </c>
      <c r="L39" s="328">
        <v>0.0</v>
      </c>
      <c r="M39" s="328">
        <v>0.51</v>
      </c>
      <c r="N39" s="329">
        <v>0.0</v>
      </c>
      <c r="O39" s="330">
        <f>SUM(F39+I39+J39+K39+L39+M39+N39)</f>
        <v>71.71</v>
      </c>
      <c r="P39" s="330">
        <f>O39/C39</f>
        <v>0.896375</v>
      </c>
      <c r="Q39" s="331">
        <v>2.0</v>
      </c>
      <c r="R39" s="330">
        <f>SUM((O39*Q39)+O39)</f>
        <v>215.13</v>
      </c>
      <c r="S39" s="170">
        <f>SUM(R39/C39)</f>
        <v>2.689125</v>
      </c>
      <c r="T39" s="334">
        <f>SUM(S38+S39)</f>
        <v>2.689125</v>
      </c>
    </row>
    <row r="40" ht="22.5" customHeight="1">
      <c r="A40" s="335"/>
      <c r="B40" s="335"/>
      <c r="C40" s="336"/>
      <c r="D40" s="335"/>
      <c r="E40" s="335"/>
      <c r="F40" s="337"/>
      <c r="G40" s="338"/>
      <c r="H40" s="338"/>
      <c r="I40" s="339"/>
      <c r="J40" s="335"/>
      <c r="K40" s="335"/>
      <c r="L40" s="335"/>
      <c r="M40" s="335"/>
      <c r="N40" s="337"/>
      <c r="O40" s="339"/>
      <c r="P40" s="339"/>
      <c r="Q40" s="340"/>
      <c r="R40" s="335"/>
      <c r="S40" s="335"/>
      <c r="T40" s="335"/>
    </row>
    <row r="41" ht="22.5" customHeight="1">
      <c r="A41" s="323" t="s">
        <v>310</v>
      </c>
      <c r="B41" s="324" t="s">
        <v>311</v>
      </c>
      <c r="C41" s="165">
        <v>500.0</v>
      </c>
      <c r="D41" s="333">
        <v>4.0</v>
      </c>
      <c r="E41" s="326">
        <f t="shared" ref="E41:E42" si="44">SUM(((C41*D41)/4)*2)</f>
        <v>1000</v>
      </c>
      <c r="F41" s="253">
        <f>SUM(E41*B11)</f>
        <v>150</v>
      </c>
      <c r="G41" s="167">
        <f t="shared" ref="G41:G42" si="45">SUM(E41/2)</f>
        <v>500</v>
      </c>
      <c r="H41" s="347">
        <v>0.09</v>
      </c>
      <c r="I41" s="169">
        <f t="shared" ref="I41:I42" si="46">SUM(G41*H41)</f>
        <v>45</v>
      </c>
      <c r="J41" s="166">
        <v>0.0</v>
      </c>
      <c r="K41" s="328">
        <v>0.0</v>
      </c>
      <c r="L41" s="328">
        <v>0.0</v>
      </c>
      <c r="M41" s="329">
        <v>0.0</v>
      </c>
      <c r="N41" s="329">
        <v>0.0</v>
      </c>
      <c r="O41" s="330">
        <f t="shared" ref="O41:O42" si="47">SUM(F41+I41+J41+K41+L41+M41+N41)</f>
        <v>195</v>
      </c>
      <c r="P41" s="330">
        <f t="shared" ref="P41:P42" si="48">O41/C41</f>
        <v>0.39</v>
      </c>
      <c r="Q41" s="331">
        <v>2.0</v>
      </c>
      <c r="R41" s="330">
        <f t="shared" ref="R41:R42" si="49">SUM((O41*Q41)+O41)</f>
        <v>585</v>
      </c>
      <c r="S41" s="170">
        <f t="shared" ref="S41:S42" si="50">SUM(R41/C41)</f>
        <v>1.17</v>
      </c>
      <c r="T41" s="332" t="s">
        <v>292</v>
      </c>
    </row>
    <row r="42" ht="22.5" customHeight="1">
      <c r="A42" s="323" t="s">
        <v>310</v>
      </c>
      <c r="B42" s="324" t="s">
        <v>312</v>
      </c>
      <c r="C42" s="165">
        <v>500.0</v>
      </c>
      <c r="D42" s="333">
        <v>12.0</v>
      </c>
      <c r="E42" s="326">
        <f t="shared" si="44"/>
        <v>3000</v>
      </c>
      <c r="F42" s="253">
        <f>SUM(E42*B11)</f>
        <v>450</v>
      </c>
      <c r="G42" s="167">
        <f t="shared" si="45"/>
        <v>1500</v>
      </c>
      <c r="H42" s="347">
        <v>0.06</v>
      </c>
      <c r="I42" s="169">
        <f t="shared" si="46"/>
        <v>90</v>
      </c>
      <c r="J42" s="166">
        <v>44.0</v>
      </c>
      <c r="K42" s="328">
        <v>0.0</v>
      </c>
      <c r="L42" s="328">
        <v>0.0</v>
      </c>
      <c r="M42" s="328">
        <v>5.12</v>
      </c>
      <c r="N42" s="329">
        <v>0.0</v>
      </c>
      <c r="O42" s="330">
        <f t="shared" si="47"/>
        <v>589.12</v>
      </c>
      <c r="P42" s="330">
        <f t="shared" si="48"/>
        <v>1.17824</v>
      </c>
      <c r="Q42" s="331">
        <v>2.0</v>
      </c>
      <c r="R42" s="330">
        <f t="shared" si="49"/>
        <v>1767.36</v>
      </c>
      <c r="S42" s="170">
        <f t="shared" si="50"/>
        <v>3.53472</v>
      </c>
      <c r="T42" s="334">
        <f>SUM(S41+S42)</f>
        <v>4.70472</v>
      </c>
      <c r="U42" s="27">
        <f>R42+R41</f>
        <v>2352.36</v>
      </c>
    </row>
    <row r="43" ht="22.5" customHeight="1">
      <c r="A43" s="335"/>
      <c r="B43" s="335"/>
      <c r="C43" s="336"/>
      <c r="D43" s="335"/>
      <c r="E43" s="335"/>
      <c r="F43" s="337"/>
      <c r="G43" s="338"/>
      <c r="H43" s="338"/>
      <c r="I43" s="339"/>
      <c r="J43" s="335"/>
      <c r="K43" s="335"/>
      <c r="L43" s="335"/>
      <c r="M43" s="335"/>
      <c r="N43" s="337"/>
      <c r="O43" s="339"/>
      <c r="P43" s="339"/>
      <c r="Q43" s="340"/>
      <c r="R43" s="335"/>
      <c r="S43" s="335"/>
      <c r="T43" s="335"/>
    </row>
    <row r="44" ht="22.5" customHeight="1">
      <c r="A44" s="323" t="s">
        <v>313</v>
      </c>
      <c r="B44" s="324" t="s">
        <v>314</v>
      </c>
      <c r="C44" s="165">
        <v>1.0</v>
      </c>
      <c r="D44" s="333">
        <v>4.0</v>
      </c>
      <c r="E44" s="326">
        <f t="shared" ref="E44:E45" si="51">SUM(((C44*D44)/4)*2)</f>
        <v>2</v>
      </c>
      <c r="F44" s="253">
        <f>SUM(E44*B9)</f>
        <v>1</v>
      </c>
      <c r="G44" s="167">
        <f t="shared" ref="G44:G45" si="52">SUM(E44/2)</f>
        <v>1</v>
      </c>
      <c r="H44" s="347">
        <v>0.09</v>
      </c>
      <c r="I44" s="169">
        <f t="shared" ref="I44:I45" si="53">SUM(G44*H44)</f>
        <v>0.09</v>
      </c>
      <c r="J44" s="166">
        <v>0.0</v>
      </c>
      <c r="K44" s="328">
        <v>0.0</v>
      </c>
      <c r="L44" s="328">
        <v>0.0</v>
      </c>
      <c r="M44" s="329">
        <v>0.0</v>
      </c>
      <c r="N44" s="329">
        <v>0.0</v>
      </c>
      <c r="O44" s="330">
        <f t="shared" ref="O44:O45" si="54">SUM(F44+I44+J44+K44+L44+M44+N44)</f>
        <v>1.09</v>
      </c>
      <c r="P44" s="330">
        <f t="shared" ref="P44:P45" si="55">O44/C44</f>
        <v>1.09</v>
      </c>
      <c r="Q44" s="331">
        <v>3.0</v>
      </c>
      <c r="R44" s="330">
        <f t="shared" ref="R44:R45" si="56">SUM((O44*Q44)+O44)</f>
        <v>4.36</v>
      </c>
      <c r="S44" s="170">
        <f t="shared" ref="S44:S45" si="57">SUM(R44/C44)</f>
        <v>4.36</v>
      </c>
      <c r="T44" s="332" t="s">
        <v>292</v>
      </c>
    </row>
    <row r="45" ht="22.5" customHeight="1">
      <c r="A45" s="323" t="s">
        <v>313</v>
      </c>
      <c r="B45" s="324" t="s">
        <v>315</v>
      </c>
      <c r="C45" s="165">
        <v>50.0</v>
      </c>
      <c r="D45" s="333">
        <v>136.0</v>
      </c>
      <c r="E45" s="326">
        <f t="shared" si="51"/>
        <v>3400</v>
      </c>
      <c r="F45" s="253">
        <f>SUM(E45*B3)</f>
        <v>170</v>
      </c>
      <c r="G45" s="167">
        <f t="shared" si="52"/>
        <v>1700</v>
      </c>
      <c r="H45" s="347">
        <v>0.06</v>
      </c>
      <c r="I45" s="169">
        <f t="shared" si="53"/>
        <v>102</v>
      </c>
      <c r="J45" s="166">
        <v>15.0</v>
      </c>
      <c r="K45" s="328">
        <v>0.0</v>
      </c>
      <c r="L45" s="328">
        <v>0.0</v>
      </c>
      <c r="M45" s="328">
        <v>17.5</v>
      </c>
      <c r="N45" s="328">
        <v>17.5</v>
      </c>
      <c r="O45" s="330">
        <f t="shared" si="54"/>
        <v>322</v>
      </c>
      <c r="P45" s="330">
        <f t="shared" si="55"/>
        <v>6.44</v>
      </c>
      <c r="Q45" s="331">
        <v>3.0</v>
      </c>
      <c r="R45" s="330">
        <f t="shared" si="56"/>
        <v>1288</v>
      </c>
      <c r="S45" s="170">
        <f t="shared" si="57"/>
        <v>25.76</v>
      </c>
      <c r="T45" s="334">
        <f>SUM(S44+S45)</f>
        <v>30.12</v>
      </c>
    </row>
    <row r="46" ht="22.5" customHeight="1">
      <c r="A46" s="335"/>
      <c r="B46" s="335"/>
      <c r="C46" s="336"/>
      <c r="D46" s="335"/>
      <c r="E46" s="335"/>
      <c r="F46" s="337"/>
      <c r="G46" s="338"/>
      <c r="H46" s="338"/>
      <c r="I46" s="339"/>
      <c r="J46" s="335"/>
      <c r="K46" s="335"/>
      <c r="L46" s="335"/>
      <c r="M46" s="335"/>
      <c r="N46" s="337"/>
      <c r="O46" s="339"/>
      <c r="P46" s="339"/>
      <c r="Q46" s="340"/>
      <c r="R46" s="335"/>
      <c r="S46" s="335"/>
      <c r="T46" s="335"/>
    </row>
    <row r="47" ht="22.5" customHeight="1">
      <c r="A47" s="323" t="s">
        <v>205</v>
      </c>
      <c r="B47" s="324" t="s">
        <v>314</v>
      </c>
      <c r="C47" s="165">
        <v>50.0</v>
      </c>
      <c r="D47" s="333">
        <v>2.0</v>
      </c>
      <c r="E47" s="326">
        <f t="shared" ref="E47:E49" si="58">SUM(((C47*D47)/4)*2)</f>
        <v>50</v>
      </c>
      <c r="F47" s="253">
        <f>SUM(E47*B3)</f>
        <v>2.5</v>
      </c>
      <c r="G47" s="167">
        <f t="shared" ref="G47:G49" si="59">SUM(E47/2)</f>
        <v>25</v>
      </c>
      <c r="H47" s="347">
        <v>0.06</v>
      </c>
      <c r="I47" s="169">
        <f t="shared" ref="I47:I49" si="60">SUM(G47*H47)</f>
        <v>1.5</v>
      </c>
      <c r="J47" s="166">
        <v>0.0</v>
      </c>
      <c r="K47" s="328">
        <v>0.0</v>
      </c>
      <c r="L47" s="328">
        <v>0.0</v>
      </c>
      <c r="M47" s="329">
        <v>0.0</v>
      </c>
      <c r="N47" s="329">
        <v>0.0</v>
      </c>
      <c r="O47" s="330">
        <f t="shared" ref="O47:O49" si="61">SUM(F47+I47+J47+K47+L47+M47+N47)</f>
        <v>4</v>
      </c>
      <c r="P47" s="330">
        <f t="shared" ref="P47:P49" si="62">O47/C47</f>
        <v>0.08</v>
      </c>
      <c r="Q47" s="331">
        <v>1.2</v>
      </c>
      <c r="R47" s="330">
        <f t="shared" ref="R47:R49" si="63">SUM((O47*Q47)+O47)</f>
        <v>8.8</v>
      </c>
      <c r="S47" s="170">
        <f t="shared" ref="S47:S49" si="64">SUM(R47/C47)</f>
        <v>0.176</v>
      </c>
      <c r="T47" s="332" t="s">
        <v>292</v>
      </c>
    </row>
    <row r="48" ht="22.5" customHeight="1">
      <c r="A48" s="323" t="s">
        <v>205</v>
      </c>
      <c r="B48" s="324" t="s">
        <v>315</v>
      </c>
      <c r="C48" s="165">
        <v>50.0</v>
      </c>
      <c r="D48" s="333">
        <v>8.0</v>
      </c>
      <c r="E48" s="326">
        <f t="shared" si="58"/>
        <v>200</v>
      </c>
      <c r="F48" s="253">
        <f t="shared" ref="F48:F49" si="65">SUM(E48*B3)</f>
        <v>10</v>
      </c>
      <c r="G48" s="167">
        <f t="shared" si="59"/>
        <v>100</v>
      </c>
      <c r="H48" s="347">
        <v>0.06</v>
      </c>
      <c r="I48" s="169">
        <f t="shared" si="60"/>
        <v>6</v>
      </c>
      <c r="J48" s="166">
        <v>5.0</v>
      </c>
      <c r="K48" s="328">
        <v>0.0</v>
      </c>
      <c r="L48" s="328">
        <v>0.0</v>
      </c>
      <c r="M48" s="328">
        <v>0.0</v>
      </c>
      <c r="N48" s="328">
        <v>0.0</v>
      </c>
      <c r="O48" s="330">
        <f t="shared" si="61"/>
        <v>21</v>
      </c>
      <c r="P48" s="330">
        <f t="shared" si="62"/>
        <v>0.42</v>
      </c>
      <c r="Q48" s="331">
        <v>1.0</v>
      </c>
      <c r="R48" s="330">
        <f t="shared" si="63"/>
        <v>42</v>
      </c>
      <c r="S48" s="170">
        <f t="shared" si="64"/>
        <v>0.84</v>
      </c>
      <c r="T48" s="334">
        <f t="shared" ref="T48:T49" si="66">SUM(S47+S48)</f>
        <v>1.016</v>
      </c>
    </row>
    <row r="49" ht="22.5" customHeight="1">
      <c r="A49" s="154" t="s">
        <v>196</v>
      </c>
      <c r="B49" s="154" t="s">
        <v>316</v>
      </c>
      <c r="C49" s="165">
        <v>10.0</v>
      </c>
      <c r="D49" s="333">
        <v>10.0</v>
      </c>
      <c r="E49" s="326">
        <f t="shared" si="58"/>
        <v>50</v>
      </c>
      <c r="F49" s="253">
        <f t="shared" si="65"/>
        <v>6</v>
      </c>
      <c r="G49" s="167">
        <f t="shared" si="59"/>
        <v>25</v>
      </c>
      <c r="H49" s="347">
        <v>0.09</v>
      </c>
      <c r="I49" s="169">
        <f t="shared" si="60"/>
        <v>2.25</v>
      </c>
      <c r="J49" s="166">
        <v>5.0</v>
      </c>
      <c r="K49" s="328">
        <v>0.0</v>
      </c>
      <c r="L49" s="328">
        <v>0.0</v>
      </c>
      <c r="M49" s="328">
        <v>0.0</v>
      </c>
      <c r="N49" s="328">
        <v>0.0</v>
      </c>
      <c r="O49" s="330">
        <f t="shared" si="61"/>
        <v>13.25</v>
      </c>
      <c r="P49" s="330">
        <f t="shared" si="62"/>
        <v>1.325</v>
      </c>
      <c r="Q49" s="331">
        <v>3.0</v>
      </c>
      <c r="R49" s="330">
        <f t="shared" si="63"/>
        <v>53</v>
      </c>
      <c r="S49" s="170">
        <f t="shared" si="64"/>
        <v>5.3</v>
      </c>
      <c r="T49" s="334">
        <f t="shared" si="66"/>
        <v>6.14</v>
      </c>
    </row>
    <row r="50" ht="22.5" customHeight="1">
      <c r="A50" s="335"/>
      <c r="B50" s="335"/>
      <c r="C50" s="336"/>
      <c r="D50" s="335"/>
      <c r="E50" s="335"/>
      <c r="F50" s="337"/>
      <c r="G50" s="338"/>
      <c r="H50" s="338"/>
      <c r="I50" s="339"/>
      <c r="J50" s="335"/>
      <c r="K50" s="335"/>
      <c r="L50" s="335"/>
      <c r="M50" s="335"/>
      <c r="N50" s="337"/>
      <c r="O50" s="339"/>
      <c r="P50" s="339"/>
      <c r="Q50" s="340"/>
      <c r="R50" s="335"/>
      <c r="S50" s="335"/>
      <c r="T50" s="335"/>
    </row>
    <row r="51" ht="22.5" customHeight="1">
      <c r="A51" s="323" t="s">
        <v>317</v>
      </c>
      <c r="B51" s="324" t="s">
        <v>314</v>
      </c>
      <c r="C51" s="165">
        <v>2.0</v>
      </c>
      <c r="D51" s="333">
        <v>4.0</v>
      </c>
      <c r="E51" s="326">
        <f t="shared" ref="E51:E52" si="67">SUM(((C51*D51)/4)*2)</f>
        <v>4</v>
      </c>
      <c r="F51" s="253">
        <f t="shared" ref="F51:F52" si="68">SUM(E51*B3)</f>
        <v>0.2</v>
      </c>
      <c r="G51" s="167">
        <f t="shared" ref="G51:G52" si="69">SUM(E51/2)</f>
        <v>2</v>
      </c>
      <c r="H51" s="347">
        <v>0.14</v>
      </c>
      <c r="I51" s="169">
        <f t="shared" ref="I51:I52" si="70">SUM(G51*H51)</f>
        <v>0.28</v>
      </c>
      <c r="J51" s="166">
        <v>0.0</v>
      </c>
      <c r="K51" s="328">
        <v>0.0</v>
      </c>
      <c r="L51" s="328">
        <v>0.0</v>
      </c>
      <c r="M51" s="329">
        <v>0.0</v>
      </c>
      <c r="N51" s="329">
        <v>0.0</v>
      </c>
      <c r="O51" s="330">
        <f t="shared" ref="O51:O52" si="71">SUM(F51+I51+J51+K51+L51+M51+N51)</f>
        <v>0.48</v>
      </c>
      <c r="P51" s="330">
        <f t="shared" ref="P51:P52" si="72">O51/C51</f>
        <v>0.24</v>
      </c>
      <c r="Q51" s="331">
        <v>3.0</v>
      </c>
      <c r="R51" s="330">
        <f t="shared" ref="R51:R52" si="73">SUM((O51*Q51)+O51)</f>
        <v>1.92</v>
      </c>
      <c r="S51" s="170">
        <f t="shared" ref="S51:S52" si="74">SUM(R51/C51)</f>
        <v>0.96</v>
      </c>
      <c r="T51" s="332" t="s">
        <v>292</v>
      </c>
    </row>
    <row r="52" ht="22.5" customHeight="1">
      <c r="A52" s="323" t="s">
        <v>317</v>
      </c>
      <c r="B52" s="324" t="s">
        <v>315</v>
      </c>
      <c r="C52" s="165">
        <v>2.0</v>
      </c>
      <c r="D52" s="333">
        <v>12.0</v>
      </c>
      <c r="E52" s="326">
        <f t="shared" si="67"/>
        <v>12</v>
      </c>
      <c r="F52" s="253">
        <f t="shared" si="68"/>
        <v>1.44</v>
      </c>
      <c r="G52" s="167">
        <f t="shared" si="69"/>
        <v>6</v>
      </c>
      <c r="H52" s="347">
        <v>0.06</v>
      </c>
      <c r="I52" s="169">
        <f t="shared" si="70"/>
        <v>0.36</v>
      </c>
      <c r="J52" s="166">
        <v>5.0</v>
      </c>
      <c r="K52" s="328">
        <v>0.0</v>
      </c>
      <c r="L52" s="328">
        <v>0.0</v>
      </c>
      <c r="M52" s="328">
        <v>0.0</v>
      </c>
      <c r="N52" s="328">
        <v>0.0</v>
      </c>
      <c r="O52" s="330">
        <f t="shared" si="71"/>
        <v>6.8</v>
      </c>
      <c r="P52" s="330">
        <f t="shared" si="72"/>
        <v>3.4</v>
      </c>
      <c r="Q52" s="331">
        <v>3.0</v>
      </c>
      <c r="R52" s="330">
        <f t="shared" si="73"/>
        <v>27.2</v>
      </c>
      <c r="S52" s="170">
        <f t="shared" si="74"/>
        <v>13.6</v>
      </c>
      <c r="T52" s="334">
        <f>SUM(S51+S52)/C52</f>
        <v>7.28</v>
      </c>
    </row>
    <row r="53" ht="11.25" customHeight="1">
      <c r="A53" s="335"/>
      <c r="B53" s="335"/>
      <c r="C53" s="336"/>
      <c r="D53" s="335"/>
      <c r="E53" s="335"/>
      <c r="F53" s="335"/>
      <c r="G53" s="338"/>
      <c r="H53" s="338"/>
      <c r="I53" s="339"/>
      <c r="J53" s="335"/>
      <c r="K53" s="335"/>
      <c r="L53" s="335"/>
      <c r="M53" s="335"/>
      <c r="N53" s="337"/>
      <c r="O53" s="339"/>
      <c r="P53" s="339"/>
      <c r="Q53" s="340"/>
      <c r="R53" s="335"/>
      <c r="S53" s="335"/>
      <c r="T53" s="335"/>
    </row>
    <row r="54" ht="22.5" customHeight="1">
      <c r="A54" s="323" t="s">
        <v>318</v>
      </c>
      <c r="B54" s="324" t="s">
        <v>314</v>
      </c>
      <c r="C54" s="165">
        <v>100.0</v>
      </c>
      <c r="D54" s="333">
        <v>4.0</v>
      </c>
      <c r="E54" s="326">
        <f t="shared" ref="E54:E55" si="75">SUM(((C54*D54)/4)*2)</f>
        <v>200</v>
      </c>
      <c r="F54" s="253">
        <f>SUM(E54*B3)</f>
        <v>10</v>
      </c>
      <c r="G54" s="167">
        <f t="shared" ref="G54:G55" si="76">SUM(E54/2)</f>
        <v>100</v>
      </c>
      <c r="H54" s="347">
        <v>0.09</v>
      </c>
      <c r="I54" s="169">
        <f t="shared" ref="I54:I55" si="77">SUM(G54*H54)</f>
        <v>9</v>
      </c>
      <c r="J54" s="166">
        <v>0.0</v>
      </c>
      <c r="K54" s="328">
        <v>50.0</v>
      </c>
      <c r="L54" s="328">
        <v>0.0</v>
      </c>
      <c r="M54" s="329">
        <v>0.0</v>
      </c>
      <c r="N54" s="329">
        <v>0.0</v>
      </c>
      <c r="O54" s="330">
        <f t="shared" ref="O54:O55" si="78">SUM(F54+I54+J54+K54+L54+M54+N54)</f>
        <v>69</v>
      </c>
      <c r="P54" s="330">
        <f t="shared" ref="P54:P55" si="79">O54/C54</f>
        <v>0.69</v>
      </c>
      <c r="Q54" s="331">
        <v>2.0</v>
      </c>
      <c r="R54" s="330">
        <f t="shared" ref="R54:R55" si="80">SUM((O54*Q54)+O54)</f>
        <v>207</v>
      </c>
      <c r="S54" s="170">
        <f t="shared" ref="S54:S55" si="81">SUM(R54/C54)</f>
        <v>2.07</v>
      </c>
      <c r="T54" s="332" t="s">
        <v>292</v>
      </c>
    </row>
    <row r="55" ht="22.5" customHeight="1">
      <c r="A55" s="323"/>
      <c r="B55" s="324" t="s">
        <v>315</v>
      </c>
      <c r="C55" s="165">
        <v>100.0</v>
      </c>
      <c r="D55" s="333">
        <v>20.0</v>
      </c>
      <c r="E55" s="326">
        <f t="shared" si="75"/>
        <v>1000</v>
      </c>
      <c r="F55" s="253">
        <f>SUM(E55*B3)</f>
        <v>50</v>
      </c>
      <c r="G55" s="167">
        <f t="shared" si="76"/>
        <v>500</v>
      </c>
      <c r="H55" s="347">
        <v>0.06</v>
      </c>
      <c r="I55" s="169">
        <f t="shared" si="77"/>
        <v>30</v>
      </c>
      <c r="J55" s="166">
        <v>15.0</v>
      </c>
      <c r="K55" s="328">
        <v>0.0</v>
      </c>
      <c r="L55" s="328">
        <v>0.0</v>
      </c>
      <c r="M55" s="328">
        <v>2.05</v>
      </c>
      <c r="N55" s="328">
        <v>0.0</v>
      </c>
      <c r="O55" s="330">
        <f t="shared" si="78"/>
        <v>97.05</v>
      </c>
      <c r="P55" s="330">
        <f t="shared" si="79"/>
        <v>0.9705</v>
      </c>
      <c r="Q55" s="331">
        <v>2.0</v>
      </c>
      <c r="R55" s="330">
        <f t="shared" si="80"/>
        <v>291.15</v>
      </c>
      <c r="S55" s="170">
        <f t="shared" si="81"/>
        <v>2.9115</v>
      </c>
      <c r="T55" s="334">
        <f>SUM(S54+S55)</f>
        <v>4.9815</v>
      </c>
    </row>
    <row r="56" ht="11.25" customHeight="1">
      <c r="A56" s="335"/>
      <c r="B56" s="335"/>
      <c r="C56" s="336"/>
      <c r="D56" s="335"/>
      <c r="E56" s="335"/>
      <c r="F56" s="337"/>
      <c r="G56" s="338"/>
      <c r="H56" s="338"/>
      <c r="I56" s="339"/>
      <c r="J56" s="335"/>
      <c r="K56" s="335"/>
      <c r="L56" s="335"/>
      <c r="M56" s="335"/>
      <c r="N56" s="337"/>
      <c r="O56" s="339"/>
      <c r="P56" s="339"/>
      <c r="Q56" s="340"/>
      <c r="R56" s="335"/>
      <c r="S56" s="335"/>
      <c r="T56" s="335"/>
    </row>
    <row r="57" ht="22.5" customHeight="1">
      <c r="A57" s="323" t="s">
        <v>319</v>
      </c>
      <c r="B57" s="324" t="s">
        <v>291</v>
      </c>
      <c r="C57" s="165">
        <v>100.0</v>
      </c>
      <c r="D57" s="325">
        <v>4.0</v>
      </c>
      <c r="E57" s="326">
        <f t="shared" ref="E57:E58" si="82">SUM(((C57*D57)/4)*2)</f>
        <v>200</v>
      </c>
      <c r="F57" s="253">
        <f>SUM(E57*B3)</f>
        <v>10</v>
      </c>
      <c r="G57" s="167">
        <f t="shared" ref="G57:G58" si="83">SUM(E57/2)</f>
        <v>100</v>
      </c>
      <c r="H57" s="327">
        <v>0.06</v>
      </c>
      <c r="I57" s="169">
        <f t="shared" ref="I57:I58" si="84">SUM(G57*H57)</f>
        <v>6</v>
      </c>
      <c r="J57" s="166">
        <v>0.0</v>
      </c>
      <c r="K57" s="328">
        <v>0.0</v>
      </c>
      <c r="L57" s="328">
        <v>0.0</v>
      </c>
      <c r="M57" s="329">
        <v>0.0</v>
      </c>
      <c r="N57" s="329">
        <v>0.0</v>
      </c>
      <c r="O57" s="330">
        <f t="shared" ref="O57:O58" si="85">SUM(F57+I57+J57+K57+L57+M57+N57)</f>
        <v>16</v>
      </c>
      <c r="P57" s="330">
        <f t="shared" ref="P57:P58" si="86">O57/C57</f>
        <v>0.16</v>
      </c>
      <c r="Q57" s="331">
        <v>2.0</v>
      </c>
      <c r="R57" s="330">
        <f t="shared" ref="R57:R58" si="87">SUM((O57*Q57)+O57)</f>
        <v>48</v>
      </c>
      <c r="S57" s="170">
        <f t="shared" ref="S57:S58" si="88">SUM(R57/C57)</f>
        <v>0.48</v>
      </c>
      <c r="T57" s="332" t="s">
        <v>292</v>
      </c>
    </row>
    <row r="58" ht="22.5" customHeight="1">
      <c r="A58" s="323"/>
      <c r="B58" s="324" t="s">
        <v>293</v>
      </c>
      <c r="C58" s="165">
        <v>100.0</v>
      </c>
      <c r="D58" s="333">
        <v>4.0</v>
      </c>
      <c r="E58" s="326">
        <f t="shared" si="82"/>
        <v>200</v>
      </c>
      <c r="F58" s="253">
        <f>SUM(E58*B3)</f>
        <v>10</v>
      </c>
      <c r="G58" s="167">
        <f t="shared" si="83"/>
        <v>100</v>
      </c>
      <c r="H58" s="327">
        <v>0.06</v>
      </c>
      <c r="I58" s="169">
        <f t="shared" si="84"/>
        <v>6</v>
      </c>
      <c r="J58" s="166">
        <v>10.0</v>
      </c>
      <c r="K58" s="328">
        <v>0.0</v>
      </c>
      <c r="L58" s="328">
        <v>0.0</v>
      </c>
      <c r="M58" s="328">
        <v>5.12</v>
      </c>
      <c r="N58" s="329">
        <v>0.0</v>
      </c>
      <c r="O58" s="330">
        <f t="shared" si="85"/>
        <v>31.12</v>
      </c>
      <c r="P58" s="330">
        <f t="shared" si="86"/>
        <v>0.3112</v>
      </c>
      <c r="Q58" s="331">
        <v>2.0</v>
      </c>
      <c r="R58" s="330">
        <f t="shared" si="87"/>
        <v>93.36</v>
      </c>
      <c r="S58" s="170">
        <f t="shared" si="88"/>
        <v>0.9336</v>
      </c>
      <c r="T58" s="334">
        <f>SUM(S57+S58)</f>
        <v>1.4136</v>
      </c>
    </row>
    <row r="59" ht="11.25" customHeight="1">
      <c r="A59" s="335"/>
      <c r="B59" s="335"/>
      <c r="C59" s="336"/>
      <c r="D59" s="335"/>
      <c r="E59" s="335"/>
      <c r="F59" s="337"/>
      <c r="G59" s="338"/>
      <c r="H59" s="338"/>
      <c r="I59" s="339"/>
      <c r="J59" s="335"/>
      <c r="K59" s="335"/>
      <c r="L59" s="335"/>
      <c r="M59" s="335"/>
      <c r="N59" s="337"/>
      <c r="O59" s="339"/>
      <c r="P59" s="339"/>
      <c r="Q59" s="340"/>
      <c r="R59" s="335"/>
      <c r="S59" s="335"/>
      <c r="T59" s="335"/>
    </row>
    <row r="60" ht="22.5" customHeight="1">
      <c r="A60" s="323" t="s">
        <v>320</v>
      </c>
      <c r="B60" s="324" t="s">
        <v>291</v>
      </c>
      <c r="C60" s="165">
        <v>1.0</v>
      </c>
      <c r="D60" s="325">
        <v>4.0</v>
      </c>
      <c r="E60" s="326">
        <f t="shared" ref="E60:E61" si="89">SUM(((C60*D60)/4)*2)</f>
        <v>2</v>
      </c>
      <c r="F60" s="253">
        <f>SUM(E60*B3)</f>
        <v>0.1</v>
      </c>
      <c r="G60" s="167">
        <f t="shared" ref="G60:G61" si="90">SUM(E60/2)</f>
        <v>1</v>
      </c>
      <c r="H60" s="327">
        <v>0.09</v>
      </c>
      <c r="I60" s="169">
        <f t="shared" ref="I60:I61" si="91">SUM(G60*H60)</f>
        <v>0.09</v>
      </c>
      <c r="J60" s="166">
        <v>0.0</v>
      </c>
      <c r="K60" s="328">
        <v>0.0</v>
      </c>
      <c r="L60" s="328">
        <v>0.0</v>
      </c>
      <c r="M60" s="329">
        <v>0.0</v>
      </c>
      <c r="N60" s="329">
        <v>0.0</v>
      </c>
      <c r="O60" s="330">
        <f t="shared" ref="O60:O61" si="92">SUM(F60+I60+J60+K60+L60+M60+N60)</f>
        <v>0.19</v>
      </c>
      <c r="P60" s="330">
        <f t="shared" ref="P60:P61" si="93">O60/C60</f>
        <v>0.19</v>
      </c>
      <c r="Q60" s="331">
        <v>2.0</v>
      </c>
      <c r="R60" s="330">
        <f t="shared" ref="R60:R61" si="94">SUM((O60*Q60)+O60)</f>
        <v>0.57</v>
      </c>
      <c r="S60" s="170">
        <f t="shared" ref="S60:S61" si="95">SUM(R60/C60)</f>
        <v>0.57</v>
      </c>
      <c r="T60" s="332" t="s">
        <v>292</v>
      </c>
    </row>
    <row r="61" ht="22.5" customHeight="1">
      <c r="A61" s="323"/>
      <c r="B61" s="324" t="s">
        <v>293</v>
      </c>
      <c r="C61" s="165">
        <v>1.0</v>
      </c>
      <c r="D61" s="333">
        <v>36.0</v>
      </c>
      <c r="E61" s="326">
        <f t="shared" si="89"/>
        <v>18</v>
      </c>
      <c r="F61" s="253">
        <f>SUM(E61*B3)</f>
        <v>0.9</v>
      </c>
      <c r="G61" s="167">
        <f t="shared" si="90"/>
        <v>9</v>
      </c>
      <c r="H61" s="327">
        <v>0.09</v>
      </c>
      <c r="I61" s="169">
        <f t="shared" si="91"/>
        <v>0.81</v>
      </c>
      <c r="J61" s="166">
        <v>5.0</v>
      </c>
      <c r="K61" s="328">
        <v>0.0</v>
      </c>
      <c r="L61" s="328">
        <v>0.0</v>
      </c>
      <c r="M61" s="328">
        <v>0.0</v>
      </c>
      <c r="N61" s="329">
        <v>0.0</v>
      </c>
      <c r="O61" s="330">
        <f t="shared" si="92"/>
        <v>6.71</v>
      </c>
      <c r="P61" s="330">
        <f t="shared" si="93"/>
        <v>6.71</v>
      </c>
      <c r="Q61" s="331">
        <v>0.4</v>
      </c>
      <c r="R61" s="330">
        <f t="shared" si="94"/>
        <v>9.394</v>
      </c>
      <c r="S61" s="170">
        <f t="shared" si="95"/>
        <v>9.394</v>
      </c>
      <c r="T61" s="334">
        <f>SUM(S60+S61)</f>
        <v>9.964</v>
      </c>
    </row>
    <row r="62" ht="11.25" customHeight="1">
      <c r="A62" s="335"/>
      <c r="B62" s="335"/>
      <c r="C62" s="336"/>
      <c r="D62" s="335"/>
      <c r="E62" s="335"/>
      <c r="F62" s="337"/>
      <c r="G62" s="338"/>
      <c r="H62" s="338"/>
      <c r="I62" s="339"/>
      <c r="J62" s="335"/>
      <c r="K62" s="335"/>
      <c r="L62" s="335"/>
      <c r="M62" s="335"/>
      <c r="N62" s="337"/>
      <c r="O62" s="339"/>
      <c r="P62" s="339"/>
      <c r="Q62" s="340"/>
      <c r="R62" s="335"/>
      <c r="S62" s="335"/>
      <c r="T62" s="335"/>
    </row>
    <row r="63" ht="22.5" customHeight="1">
      <c r="A63" s="323" t="s">
        <v>320</v>
      </c>
      <c r="B63" s="324"/>
      <c r="C63" s="165"/>
      <c r="D63" s="325"/>
      <c r="E63" s="326">
        <f t="shared" ref="E63:E64" si="96">SUM(((C63*D63)/4)*2)</f>
        <v>0</v>
      </c>
      <c r="F63" s="253">
        <f>SUM(E63*B3)</f>
        <v>0</v>
      </c>
      <c r="G63" s="167">
        <f t="shared" ref="G63:G64" si="97">SUM(E63/2)</f>
        <v>0</v>
      </c>
      <c r="H63" s="327">
        <v>0.0</v>
      </c>
      <c r="I63" s="169">
        <f t="shared" ref="I63:I64" si="98">SUM(G63*H63)</f>
        <v>0</v>
      </c>
      <c r="J63" s="166">
        <v>0.0</v>
      </c>
      <c r="K63" s="328">
        <v>0.0</v>
      </c>
      <c r="L63" s="328">
        <v>0.0</v>
      </c>
      <c r="M63" s="329">
        <v>0.0</v>
      </c>
      <c r="N63" s="329">
        <v>0.0</v>
      </c>
      <c r="O63" s="330">
        <f t="shared" ref="O63:O64" si="99">SUM(F63+I63+J63+K63+L63+M63+N63)</f>
        <v>0</v>
      </c>
      <c r="P63" s="330" t="str">
        <f t="shared" ref="P63:P64" si="100">O63/C63</f>
        <v>#DIV/0!</v>
      </c>
      <c r="Q63" s="331">
        <v>2.0</v>
      </c>
      <c r="R63" s="330">
        <f t="shared" ref="R63:R64" si="101">SUM((O63*Q63)+O63)</f>
        <v>0</v>
      </c>
      <c r="S63" s="170" t="str">
        <f t="shared" ref="S63:S64" si="102">SUM(R63/C63)</f>
        <v>#DIV/0!</v>
      </c>
      <c r="T63" s="332" t="s">
        <v>292</v>
      </c>
    </row>
    <row r="64" ht="22.5" customHeight="1">
      <c r="A64" s="323"/>
      <c r="B64" s="324" t="s">
        <v>293</v>
      </c>
      <c r="C64" s="165">
        <v>10.0</v>
      </c>
      <c r="D64" s="333">
        <v>32.0</v>
      </c>
      <c r="E64" s="326">
        <f t="shared" si="96"/>
        <v>160</v>
      </c>
      <c r="F64" s="253">
        <f>SUM(E64*B3)</f>
        <v>8</v>
      </c>
      <c r="G64" s="167">
        <f t="shared" si="97"/>
        <v>80</v>
      </c>
      <c r="H64" s="327">
        <v>0.06</v>
      </c>
      <c r="I64" s="169">
        <f t="shared" si="98"/>
        <v>4.8</v>
      </c>
      <c r="J64" s="166">
        <v>5.0</v>
      </c>
      <c r="K64" s="328">
        <v>0.0</v>
      </c>
      <c r="L64" s="328">
        <v>0.0</v>
      </c>
      <c r="M64" s="328">
        <v>0.0</v>
      </c>
      <c r="N64" s="329">
        <v>0.0</v>
      </c>
      <c r="O64" s="330">
        <f t="shared" si="99"/>
        <v>17.8</v>
      </c>
      <c r="P64" s="330">
        <f t="shared" si="100"/>
        <v>1.78</v>
      </c>
      <c r="Q64" s="331">
        <v>3.0</v>
      </c>
      <c r="R64" s="330">
        <f t="shared" si="101"/>
        <v>71.2</v>
      </c>
      <c r="S64" s="170">
        <f t="shared" si="102"/>
        <v>7.12</v>
      </c>
      <c r="T64" s="334" t="str">
        <f>SUM(S63+S64)</f>
        <v>#DIV/0!</v>
      </c>
    </row>
    <row r="65" ht="11.25" customHeight="1">
      <c r="A65" s="335"/>
      <c r="B65" s="335"/>
      <c r="C65" s="336"/>
      <c r="D65" s="335"/>
      <c r="E65" s="335"/>
      <c r="F65" s="337"/>
      <c r="G65" s="338"/>
      <c r="H65" s="338"/>
      <c r="I65" s="339"/>
      <c r="J65" s="335"/>
      <c r="K65" s="335"/>
      <c r="L65" s="335"/>
      <c r="M65" s="335"/>
      <c r="N65" s="337"/>
      <c r="O65" s="339"/>
      <c r="P65" s="339"/>
      <c r="Q65" s="340"/>
      <c r="R65" s="335"/>
      <c r="S65" s="335"/>
      <c r="T65" s="335"/>
    </row>
    <row r="66" ht="22.5" customHeight="1">
      <c r="A66" s="323" t="s">
        <v>321</v>
      </c>
      <c r="B66" s="324"/>
      <c r="C66" s="165"/>
      <c r="D66" s="325"/>
      <c r="E66" s="326">
        <f t="shared" ref="E66:E67" si="103">SUM(((C66*D66)/4)*2)</f>
        <v>0</v>
      </c>
      <c r="F66" s="253">
        <f>SUM(E66*B6)</f>
        <v>0</v>
      </c>
      <c r="G66" s="167">
        <f t="shared" ref="G66:G67" si="104">SUM(E66/2)</f>
        <v>0</v>
      </c>
      <c r="H66" s="327">
        <v>0.0</v>
      </c>
      <c r="I66" s="169">
        <f t="shared" ref="I66:I67" si="105">SUM(G66*H66)</f>
        <v>0</v>
      </c>
      <c r="J66" s="166">
        <v>0.0</v>
      </c>
      <c r="K66" s="328">
        <v>0.0</v>
      </c>
      <c r="L66" s="328">
        <v>0.0</v>
      </c>
      <c r="M66" s="329">
        <v>0.0</v>
      </c>
      <c r="N66" s="329">
        <v>0.0</v>
      </c>
      <c r="O66" s="330">
        <f t="shared" ref="O66:O67" si="106">SUM(F66+I66+J66+K66+L66+M66+N66)</f>
        <v>0</v>
      </c>
      <c r="P66" s="330" t="str">
        <f t="shared" ref="P66:P67" si="107">O66/C66</f>
        <v>#DIV/0!</v>
      </c>
      <c r="Q66" s="331">
        <v>2.0</v>
      </c>
      <c r="R66" s="330">
        <f t="shared" ref="R66:R67" si="108">SUM((O66*Q66)+O66)</f>
        <v>0</v>
      </c>
      <c r="S66" s="170" t="str">
        <f t="shared" ref="S66:S67" si="109">SUM(R66/C66)</f>
        <v>#DIV/0!</v>
      </c>
      <c r="T66" s="332" t="s">
        <v>292</v>
      </c>
    </row>
    <row r="67" ht="22.5" customHeight="1">
      <c r="A67" s="323"/>
      <c r="B67" s="324" t="s">
        <v>293</v>
      </c>
      <c r="C67" s="165">
        <v>11.0</v>
      </c>
      <c r="D67" s="333">
        <v>32.0</v>
      </c>
      <c r="E67" s="326">
        <f t="shared" si="103"/>
        <v>176</v>
      </c>
      <c r="F67" s="348">
        <v>0.05</v>
      </c>
      <c r="G67" s="167">
        <f t="shared" si="104"/>
        <v>88</v>
      </c>
      <c r="H67" s="327">
        <v>0.06</v>
      </c>
      <c r="I67" s="169">
        <f t="shared" si="105"/>
        <v>5.28</v>
      </c>
      <c r="J67" s="166">
        <v>5.0</v>
      </c>
      <c r="K67" s="328">
        <v>0.0</v>
      </c>
      <c r="L67" s="328">
        <v>0.0</v>
      </c>
      <c r="M67" s="328">
        <v>0.23</v>
      </c>
      <c r="N67" s="329">
        <v>0.0</v>
      </c>
      <c r="O67" s="330">
        <f t="shared" si="106"/>
        <v>10.56</v>
      </c>
      <c r="P67" s="330">
        <f t="shared" si="107"/>
        <v>0.96</v>
      </c>
      <c r="Q67" s="331">
        <v>3.0</v>
      </c>
      <c r="R67" s="330">
        <f t="shared" si="108"/>
        <v>42.24</v>
      </c>
      <c r="S67" s="170">
        <f t="shared" si="109"/>
        <v>3.84</v>
      </c>
      <c r="T67" s="334" t="str">
        <f>SUM(S66+S67)</f>
        <v>#DIV/0!</v>
      </c>
    </row>
    <row r="68" ht="11.25" customHeight="1">
      <c r="A68" s="335"/>
      <c r="B68" s="335"/>
      <c r="C68" s="336"/>
      <c r="D68" s="335"/>
      <c r="E68" s="335"/>
      <c r="F68" s="337"/>
      <c r="G68" s="338"/>
      <c r="H68" s="338"/>
      <c r="I68" s="339"/>
      <c r="J68" s="335"/>
      <c r="K68" s="335"/>
      <c r="L68" s="335"/>
      <c r="M68" s="335"/>
      <c r="N68" s="337"/>
      <c r="O68" s="339"/>
      <c r="P68" s="339"/>
      <c r="Q68" s="340"/>
      <c r="R68" s="335"/>
      <c r="S68" s="335"/>
      <c r="T68" s="335"/>
    </row>
    <row r="69" ht="22.5" customHeight="1">
      <c r="A69" s="323" t="s">
        <v>322</v>
      </c>
      <c r="B69" s="324"/>
      <c r="C69" s="165">
        <v>0.0</v>
      </c>
      <c r="D69" s="333">
        <v>0.0</v>
      </c>
      <c r="E69" s="326">
        <f t="shared" ref="E69:E70" si="110">SUM(((C69*D69)/4)*2)</f>
        <v>0</v>
      </c>
      <c r="F69" s="348">
        <v>0.5</v>
      </c>
      <c r="G69" s="167">
        <f t="shared" ref="G69:G70" si="111">SUM(E69/2)</f>
        <v>0</v>
      </c>
      <c r="H69" s="327">
        <v>0.0</v>
      </c>
      <c r="I69" s="169">
        <f t="shared" ref="I69:I70" si="112">SUM(G69*H69)</f>
        <v>0</v>
      </c>
      <c r="J69" s="166">
        <v>0.0</v>
      </c>
      <c r="K69" s="328">
        <v>0.0</v>
      </c>
      <c r="L69" s="328">
        <v>0.0</v>
      </c>
      <c r="M69" s="329">
        <v>0.0</v>
      </c>
      <c r="N69" s="329">
        <v>0.0</v>
      </c>
      <c r="O69" s="330">
        <f t="shared" ref="O69:O70" si="113">SUM(F69+I69+J69+K69+L69+M69+N69)</f>
        <v>0.5</v>
      </c>
      <c r="P69" s="330" t="str">
        <f t="shared" ref="P69:P70" si="114">O69/C69</f>
        <v>#DIV/0!</v>
      </c>
      <c r="Q69" s="331">
        <v>2.0</v>
      </c>
      <c r="R69" s="330">
        <f t="shared" ref="R69:R70" si="115">SUM((O69*Q69)+O69)</f>
        <v>1.5</v>
      </c>
      <c r="S69" s="170" t="str">
        <f t="shared" ref="S69:S70" si="116">SUM(R69/C69)</f>
        <v>#DIV/0!</v>
      </c>
      <c r="T69" s="332" t="s">
        <v>292</v>
      </c>
    </row>
    <row r="70" ht="22.5" customHeight="1">
      <c r="A70" s="323"/>
      <c r="B70" s="324" t="s">
        <v>293</v>
      </c>
      <c r="C70" s="165">
        <v>50.0</v>
      </c>
      <c r="D70" s="333">
        <v>12.0</v>
      </c>
      <c r="E70" s="326">
        <f t="shared" si="110"/>
        <v>300</v>
      </c>
      <c r="F70" s="348">
        <v>0.05</v>
      </c>
      <c r="G70" s="167">
        <f t="shared" si="111"/>
        <v>150</v>
      </c>
      <c r="H70" s="327">
        <v>0.09</v>
      </c>
      <c r="I70" s="169">
        <f t="shared" si="112"/>
        <v>13.5</v>
      </c>
      <c r="J70" s="166">
        <v>15.0</v>
      </c>
      <c r="K70" s="328">
        <v>25.0</v>
      </c>
      <c r="L70" s="328">
        <v>0.0</v>
      </c>
      <c r="M70" s="328">
        <v>1.02</v>
      </c>
      <c r="N70" s="329">
        <v>0.0</v>
      </c>
      <c r="O70" s="330">
        <f t="shared" si="113"/>
        <v>54.57</v>
      </c>
      <c r="P70" s="330">
        <f t="shared" si="114"/>
        <v>1.0914</v>
      </c>
      <c r="Q70" s="331">
        <v>2.0</v>
      </c>
      <c r="R70" s="330">
        <f t="shared" si="115"/>
        <v>163.71</v>
      </c>
      <c r="S70" s="349">
        <f t="shared" si="116"/>
        <v>3.2742</v>
      </c>
      <c r="T70" s="334" t="str">
        <f>SUM(S69+S70)</f>
        <v>#DIV/0!</v>
      </c>
    </row>
    <row r="71" ht="11.25" customHeight="1">
      <c r="A71" s="335"/>
      <c r="B71" s="335"/>
      <c r="C71" s="336"/>
      <c r="D71" s="335"/>
      <c r="E71" s="335"/>
      <c r="F71" s="337"/>
      <c r="G71" s="338"/>
      <c r="H71" s="338"/>
      <c r="I71" s="339"/>
      <c r="J71" s="335"/>
      <c r="K71" s="335"/>
      <c r="L71" s="335"/>
      <c r="M71" s="335"/>
      <c r="N71" s="337"/>
      <c r="O71" s="339"/>
      <c r="P71" s="339"/>
      <c r="Q71" s="340"/>
      <c r="R71" s="335"/>
      <c r="S71" s="335"/>
      <c r="T71" s="335"/>
    </row>
    <row r="72" ht="22.5" customHeight="1">
      <c r="A72" s="323" t="s">
        <v>323</v>
      </c>
      <c r="B72" s="324" t="s">
        <v>324</v>
      </c>
      <c r="C72" s="165">
        <v>125.0</v>
      </c>
      <c r="D72" s="333">
        <v>4.0</v>
      </c>
      <c r="E72" s="326">
        <f t="shared" ref="E72:E75" si="117">SUM(((C72*D72)/4)*2)</f>
        <v>250</v>
      </c>
      <c r="F72" s="348">
        <v>0.05</v>
      </c>
      <c r="G72" s="167">
        <f t="shared" ref="G72:G75" si="118">SUM(E72/2)</f>
        <v>125</v>
      </c>
      <c r="H72" s="327">
        <v>0.09</v>
      </c>
      <c r="I72" s="169">
        <f t="shared" ref="I72:I75" si="119">SUM(G72*H72)</f>
        <v>11.25</v>
      </c>
      <c r="J72" s="166">
        <v>0.0</v>
      </c>
      <c r="K72" s="328">
        <v>62.5</v>
      </c>
      <c r="L72" s="328">
        <v>0.0</v>
      </c>
      <c r="M72" s="329">
        <v>0.0</v>
      </c>
      <c r="N72" s="329">
        <v>0.0</v>
      </c>
      <c r="O72" s="330">
        <f t="shared" ref="O72:O75" si="120">SUM(F72+I72+J72+K72+L72+M72+N72)</f>
        <v>73.8</v>
      </c>
      <c r="P72" s="330">
        <f t="shared" ref="P72:P75" si="121">O72/C72</f>
        <v>0.5904</v>
      </c>
      <c r="Q72" s="331">
        <v>2.0</v>
      </c>
      <c r="R72" s="330">
        <f t="shared" ref="R72:R75" si="122">SUM((O72*Q72)+O72)</f>
        <v>221.4</v>
      </c>
      <c r="S72" s="170">
        <f t="shared" ref="S72:S75" si="123">SUM(R72/C72)</f>
        <v>1.7712</v>
      </c>
      <c r="T72" s="332" t="s">
        <v>292</v>
      </c>
    </row>
    <row r="73" ht="22.5" customHeight="1">
      <c r="A73" s="323"/>
      <c r="B73" s="324" t="s">
        <v>325</v>
      </c>
      <c r="C73" s="165">
        <v>125.0</v>
      </c>
      <c r="D73" s="333">
        <v>208.0</v>
      </c>
      <c r="E73" s="326">
        <f t="shared" si="117"/>
        <v>13000</v>
      </c>
      <c r="F73" s="348">
        <v>0.05</v>
      </c>
      <c r="G73" s="167">
        <f t="shared" si="118"/>
        <v>6500</v>
      </c>
      <c r="H73" s="327">
        <v>0.03</v>
      </c>
      <c r="I73" s="169">
        <f t="shared" si="119"/>
        <v>195</v>
      </c>
      <c r="J73" s="166">
        <v>25.0</v>
      </c>
      <c r="K73" s="328">
        <v>0.0</v>
      </c>
      <c r="L73" s="328">
        <v>0.0</v>
      </c>
      <c r="M73" s="328">
        <v>0.23</v>
      </c>
      <c r="N73" s="328">
        <v>43.75</v>
      </c>
      <c r="O73" s="330">
        <f t="shared" si="120"/>
        <v>264.03</v>
      </c>
      <c r="P73" s="330">
        <f t="shared" si="121"/>
        <v>2.11224</v>
      </c>
      <c r="Q73" s="331">
        <v>2.0</v>
      </c>
      <c r="R73" s="330">
        <f t="shared" si="122"/>
        <v>792.09</v>
      </c>
      <c r="S73" s="170">
        <f t="shared" si="123"/>
        <v>6.33672</v>
      </c>
      <c r="T73" s="334">
        <f>SUM(S72+S73)</f>
        <v>8.10792</v>
      </c>
      <c r="U73" s="27">
        <f>SUM(P72+P73)</f>
        <v>2.70264</v>
      </c>
    </row>
    <row r="74" ht="22.5" customHeight="1">
      <c r="A74" s="323" t="s">
        <v>323</v>
      </c>
      <c r="B74" s="324" t="s">
        <v>324</v>
      </c>
      <c r="C74" s="165">
        <v>250.0</v>
      </c>
      <c r="D74" s="333">
        <v>4.0</v>
      </c>
      <c r="E74" s="326">
        <f t="shared" si="117"/>
        <v>500</v>
      </c>
      <c r="F74" s="348">
        <v>0.05</v>
      </c>
      <c r="G74" s="167">
        <f t="shared" si="118"/>
        <v>250</v>
      </c>
      <c r="H74" s="327">
        <v>0.09</v>
      </c>
      <c r="I74" s="169">
        <f t="shared" si="119"/>
        <v>22.5</v>
      </c>
      <c r="J74" s="166">
        <v>0.0</v>
      </c>
      <c r="K74" s="328">
        <v>85.0</v>
      </c>
      <c r="L74" s="328">
        <v>0.0</v>
      </c>
      <c r="M74" s="329">
        <v>0.0</v>
      </c>
      <c r="N74" s="329">
        <v>0.0</v>
      </c>
      <c r="O74" s="330">
        <f t="shared" si="120"/>
        <v>107.55</v>
      </c>
      <c r="P74" s="330">
        <f t="shared" si="121"/>
        <v>0.4302</v>
      </c>
      <c r="Q74" s="331">
        <v>2.0</v>
      </c>
      <c r="R74" s="330">
        <f t="shared" si="122"/>
        <v>322.65</v>
      </c>
      <c r="S74" s="170">
        <f t="shared" si="123"/>
        <v>1.2906</v>
      </c>
      <c r="T74" s="332" t="s">
        <v>292</v>
      </c>
    </row>
    <row r="75" ht="22.5" customHeight="1">
      <c r="A75" s="323"/>
      <c r="B75" s="324" t="s">
        <v>325</v>
      </c>
      <c r="C75" s="165">
        <v>250.0</v>
      </c>
      <c r="D75" s="333">
        <v>128.0</v>
      </c>
      <c r="E75" s="326">
        <f t="shared" si="117"/>
        <v>16000</v>
      </c>
      <c r="F75" s="348">
        <v>0.05</v>
      </c>
      <c r="G75" s="167">
        <f t="shared" si="118"/>
        <v>8000</v>
      </c>
      <c r="H75" s="327">
        <v>0.03</v>
      </c>
      <c r="I75" s="169">
        <f t="shared" si="119"/>
        <v>240</v>
      </c>
      <c r="J75" s="166">
        <v>25.0</v>
      </c>
      <c r="K75" s="328">
        <v>0.0</v>
      </c>
      <c r="L75" s="328">
        <v>0.0</v>
      </c>
      <c r="M75" s="328">
        <v>0.23</v>
      </c>
      <c r="N75" s="328">
        <v>87.5</v>
      </c>
      <c r="O75" s="330">
        <f t="shared" si="120"/>
        <v>352.78</v>
      </c>
      <c r="P75" s="330">
        <f t="shared" si="121"/>
        <v>1.41112</v>
      </c>
      <c r="Q75" s="331">
        <v>2.0</v>
      </c>
      <c r="R75" s="330">
        <f t="shared" si="122"/>
        <v>1058.34</v>
      </c>
      <c r="S75" s="170">
        <f t="shared" si="123"/>
        <v>4.23336</v>
      </c>
      <c r="T75" s="334">
        <f>SUM(S74+S75)</f>
        <v>5.52396</v>
      </c>
      <c r="U75" s="27">
        <f>SUM(P74+P75)</f>
        <v>1.84132</v>
      </c>
    </row>
    <row r="76" ht="11.25" customHeight="1">
      <c r="A76" s="335"/>
      <c r="B76" s="335"/>
      <c r="C76" s="336"/>
      <c r="D76" s="335"/>
      <c r="E76" s="335"/>
      <c r="F76" s="337"/>
      <c r="G76" s="338"/>
      <c r="H76" s="338"/>
      <c r="I76" s="339"/>
      <c r="J76" s="335"/>
      <c r="K76" s="335"/>
      <c r="L76" s="335"/>
      <c r="M76" s="335"/>
      <c r="N76" s="337"/>
      <c r="O76" s="339"/>
      <c r="P76" s="339"/>
      <c r="Q76" s="340"/>
      <c r="R76" s="335"/>
      <c r="S76" s="335"/>
      <c r="T76" s="335"/>
    </row>
    <row r="77" ht="22.5" customHeight="1">
      <c r="A77" s="323" t="s">
        <v>326</v>
      </c>
      <c r="B77" s="324" t="s">
        <v>324</v>
      </c>
      <c r="C77" s="165">
        <v>100.0</v>
      </c>
      <c r="D77" s="333">
        <v>4.0</v>
      </c>
      <c r="E77" s="326">
        <f t="shared" ref="E77:E78" si="124">SUM(((C77*D77)/4)*2)</f>
        <v>200</v>
      </c>
      <c r="F77" s="348">
        <v>0.05</v>
      </c>
      <c r="G77" s="167">
        <f t="shared" ref="G77:G78" si="125">SUM(E77/2)</f>
        <v>100</v>
      </c>
      <c r="H77" s="327">
        <v>0.09</v>
      </c>
      <c r="I77" s="169">
        <f t="shared" ref="I77:I78" si="126">SUM(G77*H77)</f>
        <v>9</v>
      </c>
      <c r="J77" s="166">
        <v>0.0</v>
      </c>
      <c r="K77" s="328">
        <v>50.0</v>
      </c>
      <c r="L77" s="328">
        <v>0.0</v>
      </c>
      <c r="M77" s="329">
        <v>0.0</v>
      </c>
      <c r="N77" s="329">
        <v>0.0</v>
      </c>
      <c r="O77" s="330">
        <f t="shared" ref="O77:O78" si="127">SUM(F77+I77+J77+K77+L77+M77+N77)</f>
        <v>59.05</v>
      </c>
      <c r="P77" s="330">
        <f t="shared" ref="P77:P78" si="128">O77/C77</f>
        <v>0.5905</v>
      </c>
      <c r="Q77" s="331">
        <v>2.0</v>
      </c>
      <c r="R77" s="330">
        <f t="shared" ref="R77:R78" si="129">SUM((O77*Q77)+O77)</f>
        <v>177.15</v>
      </c>
      <c r="S77" s="170">
        <f t="shared" ref="S77:S78" si="130">SUM(R77/C77)</f>
        <v>1.7715</v>
      </c>
      <c r="T77" s="332" t="s">
        <v>292</v>
      </c>
    </row>
    <row r="78" ht="22.5" customHeight="1">
      <c r="A78" s="323"/>
      <c r="B78" s="324" t="s">
        <v>325</v>
      </c>
      <c r="C78" s="165">
        <v>100.0</v>
      </c>
      <c r="D78" s="333">
        <v>20.0</v>
      </c>
      <c r="E78" s="326">
        <f t="shared" si="124"/>
        <v>1000</v>
      </c>
      <c r="F78" s="348">
        <v>0.05</v>
      </c>
      <c r="G78" s="167">
        <f t="shared" si="125"/>
        <v>500</v>
      </c>
      <c r="H78" s="327">
        <v>0.03</v>
      </c>
      <c r="I78" s="169">
        <f t="shared" si="126"/>
        <v>15</v>
      </c>
      <c r="J78" s="166">
        <v>25.0</v>
      </c>
      <c r="K78" s="328">
        <v>0.0</v>
      </c>
      <c r="L78" s="328">
        <v>0.0</v>
      </c>
      <c r="M78" s="328">
        <v>0.23</v>
      </c>
      <c r="N78" s="328">
        <v>43.75</v>
      </c>
      <c r="O78" s="330">
        <f t="shared" si="127"/>
        <v>84.03</v>
      </c>
      <c r="P78" s="330">
        <f t="shared" si="128"/>
        <v>0.8403</v>
      </c>
      <c r="Q78" s="331">
        <v>2.0</v>
      </c>
      <c r="R78" s="330">
        <f t="shared" si="129"/>
        <v>252.09</v>
      </c>
      <c r="S78" s="170">
        <f t="shared" si="130"/>
        <v>2.5209</v>
      </c>
      <c r="T78" s="334">
        <f>SUM(S77+S78)</f>
        <v>4.2924</v>
      </c>
      <c r="U78" s="27">
        <f>SUM(P77+P78)</f>
        <v>1.4308</v>
      </c>
    </row>
    <row r="79" ht="11.25" customHeight="1">
      <c r="A79" s="335"/>
      <c r="B79" s="335"/>
      <c r="C79" s="336"/>
      <c r="D79" s="335"/>
      <c r="E79" s="335"/>
      <c r="F79" s="337"/>
      <c r="G79" s="338"/>
      <c r="H79" s="338"/>
      <c r="I79" s="339"/>
      <c r="J79" s="335"/>
      <c r="K79" s="335"/>
      <c r="L79" s="335"/>
      <c r="M79" s="335"/>
      <c r="N79" s="337"/>
      <c r="O79" s="339"/>
      <c r="P79" s="339"/>
      <c r="Q79" s="340"/>
      <c r="R79" s="335"/>
      <c r="S79" s="335"/>
      <c r="T79" s="335"/>
    </row>
    <row r="80" ht="22.5" customHeight="1">
      <c r="A80" s="323" t="s">
        <v>327</v>
      </c>
      <c r="B80" s="324" t="s">
        <v>324</v>
      </c>
      <c r="C80" s="165">
        <v>20.0</v>
      </c>
      <c r="D80" s="333">
        <v>4.0</v>
      </c>
      <c r="E80" s="326">
        <f t="shared" ref="E80:E81" si="131">SUM(((C80*D80)/4)*2)</f>
        <v>40</v>
      </c>
      <c r="F80" s="348">
        <v>0.06</v>
      </c>
      <c r="G80" s="167">
        <f t="shared" ref="G80:G81" si="132">SUM(E80/2)</f>
        <v>20</v>
      </c>
      <c r="H80" s="327">
        <v>0.09</v>
      </c>
      <c r="I80" s="169">
        <f t="shared" ref="I80:I81" si="133">SUM(G80*H80)</f>
        <v>1.8</v>
      </c>
      <c r="J80" s="166">
        <v>0.0</v>
      </c>
      <c r="K80" s="328">
        <v>10.0</v>
      </c>
      <c r="L80" s="328">
        <v>25.0</v>
      </c>
      <c r="M80" s="329">
        <v>0.0</v>
      </c>
      <c r="N80" s="328">
        <v>10.0</v>
      </c>
      <c r="O80" s="330">
        <f t="shared" ref="O80:O81" si="134">SUM(F80+I80+J80+K80+L80+M80+N80)</f>
        <v>46.86</v>
      </c>
      <c r="P80" s="330">
        <f t="shared" ref="P80:P81" si="135">O80/C80</f>
        <v>2.343</v>
      </c>
      <c r="Q80" s="331">
        <v>2.0</v>
      </c>
      <c r="R80" s="330">
        <f t="shared" ref="R80:R81" si="136">SUM((O80*Q80)+O80)</f>
        <v>140.58</v>
      </c>
      <c r="S80" s="170">
        <f t="shared" ref="S80:S81" si="137">SUM(R80/C80)</f>
        <v>7.029</v>
      </c>
      <c r="T80" s="332" t="s">
        <v>292</v>
      </c>
    </row>
    <row r="81" ht="22.5" customHeight="1">
      <c r="A81" s="323"/>
      <c r="B81" s="324" t="s">
        <v>328</v>
      </c>
      <c r="C81" s="165">
        <v>20.0</v>
      </c>
      <c r="D81" s="333">
        <v>32.0</v>
      </c>
      <c r="E81" s="326">
        <f t="shared" si="131"/>
        <v>320</v>
      </c>
      <c r="F81" s="348">
        <v>0.06</v>
      </c>
      <c r="G81" s="167">
        <f t="shared" si="132"/>
        <v>160</v>
      </c>
      <c r="H81" s="327">
        <v>0.03</v>
      </c>
      <c r="I81" s="169">
        <f t="shared" si="133"/>
        <v>4.8</v>
      </c>
      <c r="J81" s="166">
        <v>25.0</v>
      </c>
      <c r="K81" s="328">
        <v>0.0</v>
      </c>
      <c r="L81" s="328">
        <v>0.0</v>
      </c>
      <c r="M81" s="328">
        <v>0.23</v>
      </c>
      <c r="N81" s="328">
        <v>43.75</v>
      </c>
      <c r="O81" s="330">
        <f t="shared" si="134"/>
        <v>73.84</v>
      </c>
      <c r="P81" s="330">
        <f t="shared" si="135"/>
        <v>3.692</v>
      </c>
      <c r="Q81" s="331">
        <v>2.0</v>
      </c>
      <c r="R81" s="330">
        <f t="shared" si="136"/>
        <v>221.52</v>
      </c>
      <c r="S81" s="170">
        <f t="shared" si="137"/>
        <v>11.076</v>
      </c>
      <c r="T81" s="334">
        <f>SUM(S80+S81)</f>
        <v>18.105</v>
      </c>
      <c r="U81" s="27">
        <f>SUM(P80+P81)</f>
        <v>6.035</v>
      </c>
    </row>
    <row r="82" ht="11.25" customHeight="1">
      <c r="A82" s="335"/>
      <c r="B82" s="335"/>
      <c r="C82" s="336"/>
      <c r="D82" s="335"/>
      <c r="E82" s="335"/>
      <c r="F82" s="337"/>
      <c r="G82" s="338"/>
      <c r="H82" s="338"/>
      <c r="I82" s="339"/>
      <c r="J82" s="335"/>
      <c r="K82" s="335"/>
      <c r="L82" s="335"/>
      <c r="M82" s="335"/>
      <c r="N82" s="337"/>
      <c r="O82" s="339"/>
      <c r="P82" s="339"/>
      <c r="Q82" s="340"/>
      <c r="R82" s="335"/>
      <c r="S82" s="335"/>
      <c r="T82" s="335"/>
    </row>
    <row r="83" ht="22.5" customHeight="1">
      <c r="A83" s="323" t="s">
        <v>220</v>
      </c>
      <c r="B83" s="324" t="s">
        <v>324</v>
      </c>
      <c r="C83" s="165">
        <v>500.0</v>
      </c>
      <c r="D83" s="333">
        <v>4.0</v>
      </c>
      <c r="E83" s="326">
        <f t="shared" ref="E83:E86" si="138">SUM(((C83*D83)/4)*2)</f>
        <v>1000</v>
      </c>
      <c r="F83" s="348">
        <v>0.06</v>
      </c>
      <c r="G83" s="167">
        <f t="shared" ref="G83:G86" si="139">SUM(E83/2)</f>
        <v>500</v>
      </c>
      <c r="H83" s="327">
        <v>0.09</v>
      </c>
      <c r="I83" s="169">
        <f t="shared" ref="I83:I86" si="140">SUM(G83*H83)</f>
        <v>45</v>
      </c>
      <c r="J83" s="166">
        <v>0.0</v>
      </c>
      <c r="K83" s="328">
        <v>10.0</v>
      </c>
      <c r="L83" s="328">
        <v>250.0</v>
      </c>
      <c r="M83" s="329">
        <v>0.0</v>
      </c>
      <c r="N83" s="328">
        <v>0.0</v>
      </c>
      <c r="O83" s="330">
        <f t="shared" ref="O83:O86" si="141">SUM(F83+I83+J83+K83+L83+M83+N83)</f>
        <v>305.06</v>
      </c>
      <c r="P83" s="330">
        <f t="shared" ref="P83:P86" si="142">O83/C83</f>
        <v>0.61012</v>
      </c>
      <c r="Q83" s="331">
        <v>3.0</v>
      </c>
      <c r="R83" s="330">
        <f t="shared" ref="R83:R86" si="143">SUM((O83*Q83)+O83)</f>
        <v>1220.24</v>
      </c>
      <c r="S83" s="170">
        <f t="shared" ref="S83:S86" si="144">SUM(R83/C83)</f>
        <v>2.44048</v>
      </c>
      <c r="T83" s="332" t="s">
        <v>292</v>
      </c>
    </row>
    <row r="84" ht="22.5" customHeight="1">
      <c r="A84" s="323"/>
      <c r="B84" s="324" t="s">
        <v>328</v>
      </c>
      <c r="C84" s="165">
        <v>500.0</v>
      </c>
      <c r="D84" s="333">
        <v>22.0</v>
      </c>
      <c r="E84" s="326">
        <f t="shared" si="138"/>
        <v>5500</v>
      </c>
      <c r="F84" s="348">
        <v>0.06</v>
      </c>
      <c r="G84" s="167">
        <f t="shared" si="139"/>
        <v>2750</v>
      </c>
      <c r="H84" s="327">
        <v>0.06</v>
      </c>
      <c r="I84" s="169">
        <f t="shared" si="140"/>
        <v>165</v>
      </c>
      <c r="J84" s="166">
        <v>176.0</v>
      </c>
      <c r="K84" s="328">
        <v>85.0</v>
      </c>
      <c r="L84" s="328">
        <v>0.0</v>
      </c>
      <c r="M84" s="328">
        <v>10.23</v>
      </c>
      <c r="N84" s="328">
        <v>75.0</v>
      </c>
      <c r="O84" s="330">
        <f t="shared" si="141"/>
        <v>511.29</v>
      </c>
      <c r="P84" s="330">
        <f t="shared" si="142"/>
        <v>1.02258</v>
      </c>
      <c r="Q84" s="331">
        <v>3.0</v>
      </c>
      <c r="R84" s="330">
        <f t="shared" si="143"/>
        <v>2045.16</v>
      </c>
      <c r="S84" s="170">
        <f t="shared" si="144"/>
        <v>4.09032</v>
      </c>
      <c r="T84" s="334">
        <f>SUM(S83+S84)</f>
        <v>6.5308</v>
      </c>
      <c r="U84" s="27">
        <f>SUM(P83+P84)</f>
        <v>1.6327</v>
      </c>
    </row>
    <row r="85" ht="22.5" customHeight="1">
      <c r="A85" s="323" t="s">
        <v>220</v>
      </c>
      <c r="B85" s="324" t="s">
        <v>324</v>
      </c>
      <c r="C85" s="165">
        <v>1000.0</v>
      </c>
      <c r="D85" s="333">
        <v>4.0</v>
      </c>
      <c r="E85" s="326">
        <f t="shared" si="138"/>
        <v>2000</v>
      </c>
      <c r="F85" s="348">
        <v>0.06</v>
      </c>
      <c r="G85" s="167">
        <f t="shared" si="139"/>
        <v>1000</v>
      </c>
      <c r="H85" s="327">
        <v>0.09</v>
      </c>
      <c r="I85" s="169">
        <f t="shared" si="140"/>
        <v>90</v>
      </c>
      <c r="J85" s="166">
        <v>0.0</v>
      </c>
      <c r="K85" s="328">
        <v>10.0</v>
      </c>
      <c r="L85" s="328">
        <v>500.0</v>
      </c>
      <c r="M85" s="329">
        <v>0.0</v>
      </c>
      <c r="N85" s="328">
        <v>0.0</v>
      </c>
      <c r="O85" s="330">
        <f t="shared" si="141"/>
        <v>600.06</v>
      </c>
      <c r="P85" s="330">
        <f t="shared" si="142"/>
        <v>0.60006</v>
      </c>
      <c r="Q85" s="331">
        <v>3.0</v>
      </c>
      <c r="R85" s="330">
        <f t="shared" si="143"/>
        <v>2400.24</v>
      </c>
      <c r="S85" s="170">
        <f t="shared" si="144"/>
        <v>2.40024</v>
      </c>
      <c r="T85" s="332" t="s">
        <v>292</v>
      </c>
    </row>
    <row r="86" ht="22.5" customHeight="1">
      <c r="A86" s="323"/>
      <c r="B86" s="324" t="s">
        <v>328</v>
      </c>
      <c r="C86" s="165">
        <v>1000.0</v>
      </c>
      <c r="D86" s="333">
        <v>22.0</v>
      </c>
      <c r="E86" s="326">
        <f t="shared" si="138"/>
        <v>11000</v>
      </c>
      <c r="F86" s="348">
        <v>0.06</v>
      </c>
      <c r="G86" s="167">
        <f t="shared" si="139"/>
        <v>5500</v>
      </c>
      <c r="H86" s="327">
        <v>0.06</v>
      </c>
      <c r="I86" s="169">
        <f t="shared" si="140"/>
        <v>330</v>
      </c>
      <c r="J86" s="166">
        <v>176.0</v>
      </c>
      <c r="K86" s="328">
        <v>85.0</v>
      </c>
      <c r="L86" s="328">
        <v>0.0</v>
      </c>
      <c r="M86" s="328">
        <v>20.46</v>
      </c>
      <c r="N86" s="328">
        <v>150.0</v>
      </c>
      <c r="O86" s="330">
        <f t="shared" si="141"/>
        <v>761.52</v>
      </c>
      <c r="P86" s="330">
        <f t="shared" si="142"/>
        <v>0.76152</v>
      </c>
      <c r="Q86" s="331">
        <v>3.0</v>
      </c>
      <c r="R86" s="330">
        <f t="shared" si="143"/>
        <v>3046.08</v>
      </c>
      <c r="S86" s="170">
        <f t="shared" si="144"/>
        <v>3.04608</v>
      </c>
      <c r="T86" s="334">
        <f>SUM(S85+S86)</f>
        <v>5.44632</v>
      </c>
      <c r="U86" s="27">
        <f>SUM(P85+P86)</f>
        <v>1.36158</v>
      </c>
    </row>
    <row r="87" ht="22.5" customHeight="1">
      <c r="C87" s="181"/>
      <c r="E87" s="73"/>
      <c r="F87" s="28"/>
      <c r="G87" s="182"/>
      <c r="H87" s="350"/>
      <c r="I87" s="183"/>
      <c r="N87" s="10"/>
      <c r="O87" s="351"/>
      <c r="P87" s="351"/>
      <c r="Q87" s="314"/>
      <c r="R87" s="184"/>
      <c r="S87" s="352"/>
    </row>
    <row r="88" ht="22.5" customHeight="1">
      <c r="C88" s="181"/>
      <c r="E88" s="73"/>
      <c r="F88" s="28"/>
      <c r="G88" s="182"/>
      <c r="H88" s="350"/>
      <c r="I88" s="183"/>
      <c r="N88" s="10"/>
      <c r="O88" s="351"/>
      <c r="P88" s="351"/>
      <c r="Q88" s="314"/>
      <c r="R88" s="184"/>
      <c r="S88" s="352"/>
    </row>
    <row r="89" ht="22.5" customHeight="1">
      <c r="C89" s="181"/>
      <c r="E89" s="73"/>
      <c r="F89" s="28"/>
      <c r="G89" s="182"/>
      <c r="H89" s="350"/>
      <c r="I89" s="183"/>
      <c r="N89" s="10"/>
      <c r="O89" s="351"/>
      <c r="P89" s="351"/>
      <c r="Q89" s="314"/>
      <c r="R89" s="184"/>
      <c r="S89" s="352"/>
    </row>
    <row r="90" ht="22.5" customHeight="1">
      <c r="C90" s="181"/>
      <c r="E90" s="73"/>
      <c r="F90" s="28"/>
      <c r="G90" s="182"/>
      <c r="H90" s="350"/>
      <c r="I90" s="183"/>
      <c r="N90" s="10"/>
      <c r="O90" s="351"/>
      <c r="P90" s="351"/>
      <c r="Q90" s="314"/>
      <c r="R90" s="184"/>
      <c r="S90" s="352"/>
    </row>
    <row r="91" ht="22.5" customHeight="1">
      <c r="C91" s="181"/>
      <c r="E91" s="73"/>
      <c r="F91" s="28"/>
      <c r="G91" s="182"/>
      <c r="H91" s="350"/>
      <c r="I91" s="183"/>
      <c r="N91" s="10"/>
      <c r="O91" s="351"/>
      <c r="P91" s="351"/>
      <c r="Q91" s="314"/>
      <c r="R91" s="184"/>
      <c r="S91" s="352"/>
    </row>
    <row r="92" ht="22.5" customHeight="1">
      <c r="C92" s="181"/>
      <c r="E92" s="73"/>
      <c r="F92" s="28"/>
      <c r="G92" s="182"/>
      <c r="H92" s="350"/>
      <c r="I92" s="183"/>
      <c r="N92" s="10"/>
      <c r="O92" s="351"/>
      <c r="P92" s="351"/>
      <c r="Q92" s="314"/>
      <c r="R92" s="184"/>
      <c r="S92" s="352"/>
    </row>
    <row r="93" ht="22.5" customHeight="1">
      <c r="C93" s="181"/>
      <c r="E93" s="73"/>
      <c r="F93" s="28"/>
      <c r="G93" s="182"/>
      <c r="H93" s="350"/>
      <c r="I93" s="183"/>
      <c r="N93" s="10"/>
      <c r="O93" s="351"/>
      <c r="P93" s="351"/>
      <c r="Q93" s="314"/>
      <c r="R93" s="184"/>
      <c r="S93" s="352"/>
    </row>
    <row r="94" ht="22.5" customHeight="1">
      <c r="C94" s="181"/>
      <c r="E94" s="73"/>
      <c r="F94" s="28"/>
      <c r="G94" s="182"/>
      <c r="H94" s="350"/>
      <c r="I94" s="183"/>
      <c r="N94" s="10"/>
      <c r="O94" s="351"/>
      <c r="P94" s="351"/>
      <c r="Q94" s="314"/>
      <c r="R94" s="184"/>
      <c r="S94" s="352"/>
    </row>
    <row r="95" ht="22.5" customHeight="1">
      <c r="C95" s="181"/>
      <c r="E95" s="73"/>
      <c r="F95" s="28"/>
      <c r="G95" s="182"/>
      <c r="H95" s="350"/>
      <c r="I95" s="183"/>
      <c r="N95" s="10"/>
      <c r="O95" s="351"/>
      <c r="P95" s="351"/>
      <c r="Q95" s="314"/>
      <c r="R95" s="184"/>
      <c r="S95" s="352"/>
    </row>
    <row r="96" ht="22.5" customHeight="1">
      <c r="C96" s="181"/>
      <c r="E96" s="73"/>
      <c r="F96" s="28"/>
      <c r="G96" s="182"/>
      <c r="H96" s="350"/>
      <c r="I96" s="183"/>
      <c r="N96" s="10"/>
      <c r="O96" s="351"/>
      <c r="P96" s="351"/>
      <c r="Q96" s="314"/>
      <c r="R96" s="184"/>
      <c r="S96" s="352"/>
    </row>
    <row r="97" ht="22.5" customHeight="1">
      <c r="C97" s="181"/>
      <c r="E97" s="73"/>
      <c r="F97" s="28"/>
      <c r="G97" s="182"/>
      <c r="H97" s="350"/>
      <c r="I97" s="183"/>
      <c r="N97" s="10"/>
      <c r="O97" s="351"/>
      <c r="P97" s="351"/>
      <c r="Q97" s="314"/>
      <c r="R97" s="184"/>
      <c r="S97" s="352"/>
    </row>
    <row r="98" ht="22.5" customHeight="1">
      <c r="C98" s="181"/>
      <c r="E98" s="73"/>
      <c r="F98" s="28"/>
      <c r="G98" s="182"/>
      <c r="H98" s="350"/>
      <c r="I98" s="183"/>
      <c r="N98" s="10"/>
      <c r="O98" s="351"/>
      <c r="P98" s="351"/>
      <c r="Q98" s="314"/>
      <c r="R98" s="184"/>
      <c r="S98" s="352"/>
    </row>
    <row r="99" ht="22.5" customHeight="1">
      <c r="C99" s="181"/>
      <c r="E99" s="73"/>
      <c r="F99" s="28"/>
      <c r="G99" s="182"/>
      <c r="H99" s="350"/>
      <c r="I99" s="183"/>
      <c r="N99" s="10"/>
      <c r="O99" s="351"/>
      <c r="P99" s="351"/>
      <c r="Q99" s="314"/>
      <c r="R99" s="184"/>
      <c r="S99" s="352"/>
    </row>
    <row r="100" ht="22.5" customHeight="1">
      <c r="C100" s="181"/>
      <c r="E100" s="73"/>
      <c r="F100" s="28"/>
      <c r="G100" s="182"/>
      <c r="H100" s="350"/>
      <c r="I100" s="183"/>
      <c r="N100" s="10"/>
      <c r="O100" s="351"/>
      <c r="P100" s="351"/>
      <c r="Q100" s="314"/>
      <c r="R100" s="184"/>
      <c r="S100" s="352"/>
    </row>
    <row r="101" ht="22.5" customHeight="1">
      <c r="C101" s="181"/>
      <c r="E101" s="73"/>
      <c r="F101" s="28"/>
      <c r="G101" s="182"/>
      <c r="H101" s="350"/>
      <c r="I101" s="183"/>
      <c r="N101" s="10"/>
      <c r="O101" s="351"/>
      <c r="P101" s="351"/>
      <c r="Q101" s="314"/>
      <c r="R101" s="184"/>
      <c r="S101" s="352"/>
    </row>
    <row r="102" ht="22.5" customHeight="1">
      <c r="C102" s="181"/>
      <c r="E102" s="73"/>
      <c r="F102" s="28"/>
      <c r="G102" s="182"/>
      <c r="H102" s="350"/>
      <c r="I102" s="183"/>
      <c r="N102" s="10"/>
      <c r="O102" s="351"/>
      <c r="P102" s="351"/>
      <c r="Q102" s="314"/>
      <c r="R102" s="184"/>
      <c r="S102" s="352"/>
    </row>
    <row r="103" ht="22.5" customHeight="1">
      <c r="C103" s="181"/>
      <c r="E103" s="73"/>
      <c r="F103" s="28"/>
      <c r="G103" s="182"/>
      <c r="H103" s="350"/>
      <c r="I103" s="183"/>
      <c r="N103" s="10"/>
      <c r="O103" s="351"/>
      <c r="P103" s="351"/>
      <c r="Q103" s="314"/>
      <c r="R103" s="184"/>
      <c r="S103" s="352"/>
    </row>
    <row r="104" ht="22.5" customHeight="1">
      <c r="C104" s="181"/>
      <c r="E104" s="73"/>
      <c r="F104" s="28"/>
      <c r="G104" s="182"/>
      <c r="H104" s="350"/>
      <c r="I104" s="183"/>
      <c r="N104" s="10"/>
      <c r="O104" s="351"/>
      <c r="P104" s="351"/>
      <c r="Q104" s="314"/>
      <c r="R104" s="184"/>
      <c r="S104" s="352"/>
    </row>
    <row r="105" ht="22.5" customHeight="1">
      <c r="C105" s="181"/>
      <c r="E105" s="73"/>
      <c r="F105" s="28"/>
      <c r="G105" s="182"/>
      <c r="H105" s="350"/>
      <c r="I105" s="183"/>
      <c r="N105" s="10"/>
      <c r="O105" s="351"/>
      <c r="P105" s="351"/>
      <c r="Q105" s="314"/>
      <c r="R105" s="184"/>
      <c r="S105" s="352"/>
    </row>
    <row r="106" ht="22.5" customHeight="1">
      <c r="C106" s="181"/>
      <c r="E106" s="73"/>
      <c r="F106" s="28"/>
      <c r="G106" s="182"/>
      <c r="H106" s="350"/>
      <c r="I106" s="183"/>
      <c r="N106" s="10"/>
      <c r="O106" s="351"/>
      <c r="P106" s="351"/>
      <c r="Q106" s="314"/>
      <c r="R106" s="184"/>
      <c r="S106" s="352"/>
    </row>
    <row r="107" ht="22.5" customHeight="1">
      <c r="C107" s="181"/>
      <c r="E107" s="73"/>
      <c r="F107" s="28"/>
      <c r="G107" s="182"/>
      <c r="H107" s="350"/>
      <c r="I107" s="183"/>
      <c r="N107" s="10"/>
      <c r="O107" s="351"/>
      <c r="P107" s="351"/>
      <c r="Q107" s="314"/>
      <c r="R107" s="184"/>
      <c r="S107" s="352"/>
    </row>
    <row r="108" ht="22.5" customHeight="1">
      <c r="C108" s="181"/>
      <c r="E108" s="73"/>
      <c r="F108" s="28"/>
      <c r="G108" s="182"/>
      <c r="H108" s="350"/>
      <c r="I108" s="183"/>
      <c r="N108" s="10"/>
      <c r="O108" s="351"/>
      <c r="P108" s="351"/>
      <c r="Q108" s="314"/>
      <c r="R108" s="184"/>
      <c r="S108" s="352"/>
    </row>
    <row r="109" ht="22.5" customHeight="1">
      <c r="C109" s="181"/>
      <c r="E109" s="73"/>
      <c r="F109" s="28"/>
      <c r="G109" s="182"/>
      <c r="H109" s="350"/>
      <c r="I109" s="183"/>
      <c r="N109" s="10"/>
      <c r="O109" s="351"/>
      <c r="P109" s="351"/>
      <c r="Q109" s="314"/>
      <c r="R109" s="184"/>
      <c r="S109" s="352"/>
    </row>
    <row r="110" ht="22.5" customHeight="1">
      <c r="C110" s="181"/>
      <c r="E110" s="73"/>
      <c r="F110" s="28"/>
      <c r="G110" s="182"/>
      <c r="H110" s="350"/>
      <c r="I110" s="183"/>
      <c r="N110" s="10"/>
      <c r="O110" s="351"/>
      <c r="P110" s="351"/>
      <c r="Q110" s="314"/>
      <c r="R110" s="184"/>
      <c r="S110" s="352"/>
    </row>
    <row r="111" ht="22.5" customHeight="1">
      <c r="C111" s="181"/>
      <c r="E111" s="73"/>
      <c r="F111" s="28"/>
      <c r="G111" s="182"/>
      <c r="H111" s="350"/>
      <c r="I111" s="183"/>
      <c r="N111" s="10"/>
      <c r="O111" s="351"/>
      <c r="P111" s="351"/>
      <c r="Q111" s="314"/>
      <c r="R111" s="184"/>
      <c r="S111" s="352"/>
    </row>
    <row r="112" ht="22.5" customHeight="1">
      <c r="C112" s="181"/>
      <c r="E112" s="73"/>
      <c r="F112" s="28"/>
      <c r="G112" s="182"/>
      <c r="H112" s="350"/>
      <c r="I112" s="183"/>
      <c r="N112" s="10"/>
      <c r="O112" s="351"/>
      <c r="P112" s="351"/>
      <c r="Q112" s="314"/>
      <c r="R112" s="184"/>
      <c r="S112" s="352"/>
    </row>
    <row r="113" ht="22.5" customHeight="1">
      <c r="C113" s="181"/>
      <c r="E113" s="73"/>
      <c r="F113" s="28"/>
      <c r="G113" s="182"/>
      <c r="H113" s="350"/>
      <c r="I113" s="183"/>
      <c r="N113" s="10"/>
      <c r="O113" s="351"/>
      <c r="P113" s="351"/>
      <c r="Q113" s="314"/>
      <c r="R113" s="184"/>
      <c r="S113" s="352"/>
    </row>
    <row r="114" ht="22.5" customHeight="1">
      <c r="C114" s="181"/>
      <c r="E114" s="73"/>
      <c r="F114" s="28"/>
      <c r="G114" s="182"/>
      <c r="H114" s="350"/>
      <c r="I114" s="183"/>
      <c r="N114" s="10"/>
      <c r="O114" s="351"/>
      <c r="P114" s="351"/>
      <c r="Q114" s="314"/>
      <c r="R114" s="184"/>
      <c r="S114" s="352"/>
    </row>
    <row r="115" ht="22.5" customHeight="1">
      <c r="C115" s="181"/>
      <c r="E115" s="73"/>
      <c r="F115" s="28"/>
      <c r="G115" s="182"/>
      <c r="H115" s="350"/>
      <c r="I115" s="183"/>
      <c r="N115" s="10"/>
      <c r="O115" s="351"/>
      <c r="P115" s="351"/>
      <c r="Q115" s="314"/>
      <c r="R115" s="184"/>
      <c r="S115" s="352"/>
    </row>
    <row r="116" ht="22.5" customHeight="1">
      <c r="C116" s="181"/>
      <c r="E116" s="73"/>
      <c r="F116" s="28"/>
      <c r="G116" s="182"/>
      <c r="H116" s="350"/>
      <c r="I116" s="183"/>
      <c r="N116" s="10"/>
      <c r="O116" s="351"/>
      <c r="P116" s="351"/>
      <c r="Q116" s="314"/>
      <c r="R116" s="184"/>
      <c r="S116" s="352"/>
    </row>
    <row r="117" ht="22.5" customHeight="1">
      <c r="C117" s="181"/>
      <c r="E117" s="73"/>
      <c r="F117" s="28"/>
      <c r="G117" s="182"/>
      <c r="H117" s="350"/>
      <c r="I117" s="183"/>
      <c r="N117" s="10"/>
      <c r="O117" s="351"/>
      <c r="P117" s="351"/>
      <c r="Q117" s="314"/>
      <c r="R117" s="184"/>
      <c r="S117" s="352"/>
    </row>
    <row r="118" ht="22.5" customHeight="1">
      <c r="C118" s="181"/>
      <c r="E118" s="73"/>
      <c r="F118" s="28"/>
      <c r="G118" s="182"/>
      <c r="H118" s="350"/>
      <c r="I118" s="183"/>
      <c r="N118" s="10"/>
      <c r="O118" s="351"/>
      <c r="P118" s="351"/>
      <c r="Q118" s="314"/>
      <c r="R118" s="184"/>
      <c r="S118" s="352"/>
    </row>
    <row r="119" ht="22.5" customHeight="1">
      <c r="C119" s="181"/>
      <c r="E119" s="73"/>
      <c r="F119" s="28"/>
      <c r="G119" s="182"/>
      <c r="H119" s="350"/>
      <c r="I119" s="183"/>
      <c r="N119" s="10"/>
      <c r="O119" s="351"/>
      <c r="P119" s="351"/>
      <c r="Q119" s="314"/>
      <c r="R119" s="184"/>
      <c r="S119" s="352"/>
    </row>
    <row r="120" ht="22.5" customHeight="1">
      <c r="C120" s="181"/>
      <c r="E120" s="73"/>
      <c r="F120" s="28"/>
      <c r="G120" s="182"/>
      <c r="H120" s="350"/>
      <c r="I120" s="183"/>
      <c r="N120" s="10"/>
      <c r="O120" s="351"/>
      <c r="P120" s="351"/>
      <c r="Q120" s="314"/>
      <c r="R120" s="184"/>
      <c r="S120" s="352"/>
    </row>
    <row r="121" ht="22.5" customHeight="1">
      <c r="C121" s="181"/>
      <c r="E121" s="73"/>
      <c r="F121" s="28"/>
      <c r="G121" s="182"/>
      <c r="H121" s="350"/>
      <c r="I121" s="183"/>
      <c r="N121" s="10"/>
      <c r="O121" s="351"/>
      <c r="P121" s="351"/>
      <c r="Q121" s="314"/>
      <c r="R121" s="184"/>
      <c r="S121" s="352"/>
    </row>
    <row r="122" ht="22.5" customHeight="1">
      <c r="C122" s="181"/>
      <c r="E122" s="73"/>
      <c r="F122" s="28"/>
      <c r="G122" s="182"/>
      <c r="H122" s="350"/>
      <c r="I122" s="183"/>
      <c r="N122" s="10"/>
      <c r="O122" s="351"/>
      <c r="P122" s="351"/>
      <c r="Q122" s="314"/>
      <c r="R122" s="184"/>
      <c r="S122" s="352"/>
    </row>
    <row r="123" ht="22.5" customHeight="1">
      <c r="C123" s="181"/>
      <c r="E123" s="73"/>
      <c r="F123" s="28"/>
      <c r="G123" s="182"/>
      <c r="H123" s="350"/>
      <c r="I123" s="183"/>
      <c r="N123" s="10"/>
      <c r="O123" s="351"/>
      <c r="P123" s="351"/>
      <c r="Q123" s="314"/>
      <c r="R123" s="184"/>
      <c r="S123" s="352"/>
    </row>
    <row r="124" ht="22.5" customHeight="1">
      <c r="C124" s="181"/>
      <c r="E124" s="73"/>
      <c r="F124" s="28"/>
      <c r="G124" s="182"/>
      <c r="H124" s="350"/>
      <c r="I124" s="183"/>
      <c r="N124" s="10"/>
      <c r="O124" s="351"/>
      <c r="P124" s="351"/>
      <c r="Q124" s="314"/>
      <c r="R124" s="184"/>
      <c r="S124" s="352"/>
    </row>
    <row r="125" ht="22.5" customHeight="1">
      <c r="C125" s="181"/>
      <c r="E125" s="73"/>
      <c r="F125" s="28"/>
      <c r="G125" s="182"/>
      <c r="H125" s="350"/>
      <c r="I125" s="183"/>
      <c r="N125" s="10"/>
      <c r="O125" s="351"/>
      <c r="P125" s="351"/>
      <c r="Q125" s="314"/>
      <c r="R125" s="184"/>
      <c r="S125" s="352"/>
    </row>
    <row r="126" ht="22.5" customHeight="1">
      <c r="C126" s="181"/>
      <c r="E126" s="73"/>
      <c r="F126" s="28"/>
      <c r="G126" s="182"/>
      <c r="H126" s="350"/>
      <c r="I126" s="183"/>
      <c r="N126" s="10"/>
      <c r="O126" s="351"/>
      <c r="P126" s="351"/>
      <c r="Q126" s="314"/>
      <c r="R126" s="184"/>
      <c r="S126" s="352"/>
    </row>
    <row r="127" ht="22.5" customHeight="1">
      <c r="C127" s="181"/>
      <c r="E127" s="73"/>
      <c r="F127" s="28"/>
      <c r="G127" s="182"/>
      <c r="H127" s="350"/>
      <c r="I127" s="183"/>
      <c r="N127" s="10"/>
      <c r="O127" s="351"/>
      <c r="P127" s="351"/>
      <c r="Q127" s="314"/>
      <c r="R127" s="184"/>
      <c r="S127" s="352"/>
    </row>
    <row r="128" ht="22.5" customHeight="1">
      <c r="C128" s="181"/>
      <c r="E128" s="73"/>
      <c r="F128" s="28"/>
      <c r="G128" s="182"/>
      <c r="H128" s="350"/>
      <c r="I128" s="183"/>
      <c r="N128" s="10"/>
      <c r="O128" s="351"/>
      <c r="P128" s="351"/>
      <c r="Q128" s="314"/>
      <c r="R128" s="184"/>
      <c r="S128" s="352"/>
    </row>
    <row r="129" ht="22.5" customHeight="1">
      <c r="C129" s="181"/>
      <c r="E129" s="73"/>
      <c r="F129" s="28"/>
      <c r="G129" s="182"/>
      <c r="H129" s="350"/>
      <c r="I129" s="183"/>
      <c r="N129" s="10"/>
      <c r="O129" s="351"/>
      <c r="P129" s="351"/>
      <c r="Q129" s="314"/>
      <c r="R129" s="184"/>
      <c r="S129" s="352"/>
    </row>
    <row r="130" ht="22.5" customHeight="1">
      <c r="C130" s="181"/>
      <c r="E130" s="73"/>
      <c r="F130" s="28"/>
      <c r="G130" s="182"/>
      <c r="H130" s="350"/>
      <c r="I130" s="183"/>
      <c r="N130" s="10"/>
      <c r="O130" s="351"/>
      <c r="P130" s="351"/>
      <c r="Q130" s="314"/>
      <c r="R130" s="184"/>
      <c r="S130" s="352"/>
    </row>
    <row r="131" ht="22.5" customHeight="1">
      <c r="C131" s="181"/>
      <c r="E131" s="73"/>
      <c r="F131" s="28"/>
      <c r="G131" s="182"/>
      <c r="H131" s="350"/>
      <c r="I131" s="183"/>
      <c r="N131" s="10"/>
      <c r="O131" s="351"/>
      <c r="P131" s="351"/>
      <c r="Q131" s="314"/>
      <c r="R131" s="184"/>
      <c r="S131" s="352"/>
    </row>
    <row r="132" ht="22.5" customHeight="1">
      <c r="C132" s="181"/>
      <c r="E132" s="73"/>
      <c r="F132" s="28"/>
      <c r="G132" s="182"/>
      <c r="H132" s="350"/>
      <c r="I132" s="183"/>
      <c r="N132" s="10"/>
      <c r="O132" s="351"/>
      <c r="P132" s="351"/>
      <c r="Q132" s="314"/>
      <c r="R132" s="184"/>
      <c r="S132" s="352"/>
    </row>
    <row r="133" ht="22.5" customHeight="1">
      <c r="C133" s="181"/>
      <c r="E133" s="73"/>
      <c r="F133" s="28"/>
      <c r="G133" s="182"/>
      <c r="H133" s="350"/>
      <c r="I133" s="183"/>
      <c r="N133" s="10"/>
      <c r="O133" s="351"/>
      <c r="P133" s="351"/>
      <c r="Q133" s="314"/>
      <c r="R133" s="184"/>
      <c r="S133" s="352"/>
    </row>
    <row r="134" ht="22.5" customHeight="1">
      <c r="C134" s="181"/>
      <c r="E134" s="73"/>
      <c r="F134" s="28"/>
      <c r="G134" s="182"/>
      <c r="H134" s="350"/>
      <c r="I134" s="183"/>
      <c r="N134" s="10"/>
      <c r="O134" s="351"/>
      <c r="P134" s="351"/>
      <c r="Q134" s="314"/>
      <c r="R134" s="184"/>
      <c r="S134" s="352"/>
    </row>
    <row r="135" ht="22.5" customHeight="1">
      <c r="C135" s="181"/>
      <c r="E135" s="73"/>
      <c r="F135" s="28"/>
      <c r="G135" s="182"/>
      <c r="H135" s="350"/>
      <c r="I135" s="183"/>
      <c r="N135" s="10"/>
      <c r="O135" s="351"/>
      <c r="P135" s="351"/>
      <c r="Q135" s="314"/>
      <c r="R135" s="184"/>
      <c r="S135" s="352"/>
    </row>
    <row r="136" ht="22.5" customHeight="1">
      <c r="C136" s="181"/>
      <c r="E136" s="73"/>
      <c r="F136" s="28"/>
      <c r="G136" s="182"/>
      <c r="H136" s="350"/>
      <c r="I136" s="183"/>
      <c r="N136" s="10"/>
      <c r="O136" s="351"/>
      <c r="P136" s="351"/>
      <c r="Q136" s="314"/>
      <c r="R136" s="184"/>
      <c r="S136" s="352"/>
    </row>
    <row r="137" ht="22.5" customHeight="1">
      <c r="C137" s="181"/>
      <c r="E137" s="73"/>
      <c r="F137" s="28"/>
      <c r="G137" s="182"/>
      <c r="H137" s="350"/>
      <c r="I137" s="183"/>
      <c r="N137" s="10"/>
      <c r="O137" s="351"/>
      <c r="P137" s="351"/>
      <c r="Q137" s="314"/>
      <c r="R137" s="184"/>
      <c r="S137" s="352"/>
    </row>
    <row r="138" ht="22.5" customHeight="1">
      <c r="C138" s="181"/>
      <c r="E138" s="73"/>
      <c r="F138" s="28"/>
      <c r="G138" s="182"/>
      <c r="H138" s="350"/>
      <c r="I138" s="183"/>
      <c r="N138" s="10"/>
      <c r="O138" s="351"/>
      <c r="P138" s="351"/>
      <c r="Q138" s="314"/>
      <c r="R138" s="184"/>
      <c r="S138" s="352"/>
    </row>
    <row r="139" ht="22.5" customHeight="1">
      <c r="C139" s="181"/>
      <c r="E139" s="73"/>
      <c r="F139" s="28"/>
      <c r="G139" s="182"/>
      <c r="H139" s="350"/>
      <c r="I139" s="183"/>
      <c r="N139" s="10"/>
      <c r="O139" s="351"/>
      <c r="P139" s="351"/>
      <c r="Q139" s="314"/>
      <c r="R139" s="184"/>
      <c r="S139" s="352"/>
    </row>
    <row r="140" ht="22.5" customHeight="1">
      <c r="C140" s="181"/>
      <c r="E140" s="73"/>
      <c r="F140" s="28"/>
      <c r="G140" s="182"/>
      <c r="H140" s="350"/>
      <c r="I140" s="183"/>
      <c r="N140" s="10"/>
      <c r="O140" s="351"/>
      <c r="P140" s="351"/>
      <c r="Q140" s="314"/>
      <c r="R140" s="184"/>
      <c r="S140" s="352"/>
    </row>
    <row r="141" ht="22.5" customHeight="1">
      <c r="C141" s="181"/>
      <c r="E141" s="73"/>
      <c r="F141" s="28"/>
      <c r="G141" s="182"/>
      <c r="H141" s="350"/>
      <c r="I141" s="183"/>
      <c r="N141" s="10"/>
      <c r="O141" s="351"/>
      <c r="P141" s="351"/>
      <c r="Q141" s="314"/>
      <c r="R141" s="184"/>
      <c r="S141" s="352"/>
    </row>
    <row r="142" ht="22.5" customHeight="1">
      <c r="C142" s="181"/>
      <c r="E142" s="73"/>
      <c r="F142" s="28"/>
      <c r="G142" s="182"/>
      <c r="H142" s="350"/>
      <c r="I142" s="183"/>
      <c r="N142" s="10"/>
      <c r="O142" s="351"/>
      <c r="P142" s="351"/>
      <c r="Q142" s="314"/>
      <c r="R142" s="184"/>
      <c r="S142" s="352"/>
    </row>
    <row r="143" ht="22.5" customHeight="1">
      <c r="C143" s="181"/>
      <c r="E143" s="73"/>
      <c r="F143" s="28"/>
      <c r="G143" s="182"/>
      <c r="H143" s="350"/>
      <c r="I143" s="183"/>
      <c r="N143" s="10"/>
      <c r="O143" s="351"/>
      <c r="P143" s="351"/>
      <c r="Q143" s="314"/>
      <c r="R143" s="184"/>
      <c r="S143" s="352"/>
    </row>
    <row r="144" ht="22.5" customHeight="1">
      <c r="C144" s="181"/>
      <c r="E144" s="73"/>
      <c r="F144" s="28"/>
      <c r="G144" s="182"/>
      <c r="H144" s="350"/>
      <c r="I144" s="183"/>
      <c r="N144" s="10"/>
      <c r="O144" s="351"/>
      <c r="P144" s="351"/>
      <c r="Q144" s="314"/>
      <c r="R144" s="184"/>
      <c r="S144" s="352"/>
    </row>
    <row r="145" ht="22.5" customHeight="1">
      <c r="C145" s="181"/>
      <c r="E145" s="73"/>
      <c r="F145" s="28"/>
      <c r="G145" s="182"/>
      <c r="H145" s="350"/>
      <c r="I145" s="183"/>
      <c r="N145" s="10"/>
      <c r="O145" s="351"/>
      <c r="P145" s="351"/>
      <c r="Q145" s="314"/>
      <c r="R145" s="184"/>
      <c r="S145" s="352"/>
    </row>
    <row r="146" ht="22.5" customHeight="1">
      <c r="C146" s="181"/>
      <c r="E146" s="73"/>
      <c r="F146" s="28"/>
      <c r="G146" s="182"/>
      <c r="H146" s="350"/>
      <c r="I146" s="183"/>
      <c r="N146" s="10"/>
      <c r="O146" s="351"/>
      <c r="P146" s="351"/>
      <c r="Q146" s="314"/>
      <c r="R146" s="184"/>
      <c r="S146" s="352"/>
    </row>
    <row r="147" ht="22.5" customHeight="1">
      <c r="C147" s="181"/>
      <c r="E147" s="73"/>
      <c r="F147" s="28"/>
      <c r="G147" s="182"/>
      <c r="H147" s="350"/>
      <c r="I147" s="183"/>
      <c r="N147" s="10"/>
      <c r="O147" s="351"/>
      <c r="P147" s="351"/>
      <c r="Q147" s="314"/>
      <c r="R147" s="184"/>
      <c r="S147" s="352"/>
    </row>
    <row r="148" ht="22.5" customHeight="1">
      <c r="C148" s="181"/>
      <c r="E148" s="73"/>
      <c r="F148" s="28"/>
      <c r="G148" s="182"/>
      <c r="H148" s="350"/>
      <c r="I148" s="183"/>
      <c r="N148" s="10"/>
      <c r="O148" s="351"/>
      <c r="P148" s="351"/>
      <c r="Q148" s="314"/>
      <c r="R148" s="184"/>
      <c r="S148" s="352"/>
    </row>
    <row r="149" ht="22.5" customHeight="1">
      <c r="C149" s="181"/>
      <c r="E149" s="73"/>
      <c r="F149" s="28"/>
      <c r="G149" s="182"/>
      <c r="H149" s="350"/>
      <c r="I149" s="183"/>
      <c r="N149" s="10"/>
      <c r="O149" s="351"/>
      <c r="P149" s="351"/>
      <c r="Q149" s="314"/>
      <c r="R149" s="184"/>
      <c r="S149" s="352"/>
    </row>
    <row r="150" ht="22.5" customHeight="1">
      <c r="C150" s="181"/>
      <c r="E150" s="73"/>
      <c r="F150" s="28"/>
      <c r="G150" s="182"/>
      <c r="H150" s="350"/>
      <c r="I150" s="183"/>
      <c r="N150" s="10"/>
      <c r="O150" s="351"/>
      <c r="P150" s="351"/>
      <c r="Q150" s="314"/>
      <c r="R150" s="184"/>
      <c r="S150" s="352"/>
    </row>
    <row r="151" ht="22.5" customHeight="1">
      <c r="C151" s="181"/>
      <c r="E151" s="73"/>
      <c r="F151" s="28"/>
      <c r="G151" s="182"/>
      <c r="H151" s="350"/>
      <c r="I151" s="183"/>
      <c r="N151" s="10"/>
      <c r="O151" s="351"/>
      <c r="P151" s="351"/>
      <c r="Q151" s="314"/>
      <c r="R151" s="184"/>
      <c r="S151" s="352"/>
    </row>
    <row r="152" ht="22.5" customHeight="1">
      <c r="C152" s="181"/>
      <c r="E152" s="73"/>
      <c r="F152" s="28"/>
      <c r="G152" s="182"/>
      <c r="H152" s="350"/>
      <c r="I152" s="183"/>
      <c r="N152" s="10"/>
      <c r="O152" s="351"/>
      <c r="P152" s="351"/>
      <c r="Q152" s="314"/>
      <c r="R152" s="184"/>
      <c r="S152" s="352"/>
    </row>
    <row r="153" ht="22.5" customHeight="1">
      <c r="C153" s="181"/>
      <c r="E153" s="73"/>
      <c r="F153" s="28"/>
      <c r="G153" s="182"/>
      <c r="H153" s="350"/>
      <c r="I153" s="183"/>
      <c r="N153" s="10"/>
      <c r="O153" s="351"/>
      <c r="P153" s="351"/>
      <c r="Q153" s="314"/>
      <c r="R153" s="184"/>
      <c r="S153" s="352"/>
    </row>
    <row r="154" ht="22.5" customHeight="1">
      <c r="C154" s="181"/>
      <c r="E154" s="73"/>
      <c r="F154" s="28"/>
      <c r="G154" s="182"/>
      <c r="H154" s="350"/>
      <c r="I154" s="183"/>
      <c r="N154" s="10"/>
      <c r="O154" s="351"/>
      <c r="P154" s="351"/>
      <c r="Q154" s="314"/>
      <c r="R154" s="184"/>
      <c r="S154" s="352"/>
    </row>
    <row r="155" ht="22.5" customHeight="1">
      <c r="C155" s="181"/>
      <c r="E155" s="73"/>
      <c r="F155" s="28"/>
      <c r="G155" s="182"/>
      <c r="H155" s="350"/>
      <c r="I155" s="183"/>
      <c r="N155" s="10"/>
      <c r="O155" s="351"/>
      <c r="P155" s="351"/>
      <c r="Q155" s="314"/>
      <c r="R155" s="184"/>
      <c r="S155" s="352"/>
    </row>
    <row r="156" ht="22.5" customHeight="1">
      <c r="C156" s="181"/>
      <c r="E156" s="73"/>
      <c r="F156" s="28"/>
      <c r="G156" s="182"/>
      <c r="H156" s="350"/>
      <c r="I156" s="183"/>
      <c r="N156" s="10"/>
      <c r="O156" s="351"/>
      <c r="P156" s="351"/>
      <c r="Q156" s="314"/>
      <c r="R156" s="184"/>
      <c r="S156" s="352"/>
    </row>
    <row r="157" ht="22.5" customHeight="1">
      <c r="C157" s="181"/>
      <c r="E157" s="73"/>
      <c r="F157" s="28"/>
      <c r="G157" s="182"/>
      <c r="H157" s="350"/>
      <c r="I157" s="183"/>
      <c r="N157" s="10"/>
      <c r="O157" s="351"/>
      <c r="P157" s="351"/>
      <c r="Q157" s="314"/>
      <c r="R157" s="184"/>
      <c r="S157" s="352"/>
    </row>
    <row r="158" ht="22.5" customHeight="1">
      <c r="C158" s="181"/>
      <c r="E158" s="73"/>
      <c r="F158" s="28"/>
      <c r="G158" s="182"/>
      <c r="H158" s="350"/>
      <c r="I158" s="183"/>
      <c r="N158" s="10"/>
      <c r="O158" s="351"/>
      <c r="P158" s="351"/>
      <c r="Q158" s="314"/>
      <c r="R158" s="184"/>
      <c r="S158" s="352"/>
    </row>
    <row r="159" ht="22.5" customHeight="1">
      <c r="C159" s="181"/>
      <c r="E159" s="73"/>
      <c r="F159" s="28"/>
      <c r="G159" s="182"/>
      <c r="H159" s="350"/>
      <c r="I159" s="183"/>
      <c r="N159" s="10"/>
      <c r="O159" s="351"/>
      <c r="P159" s="351"/>
      <c r="Q159" s="314"/>
      <c r="R159" s="184"/>
      <c r="S159" s="352"/>
    </row>
    <row r="160" ht="22.5" customHeight="1">
      <c r="C160" s="181"/>
      <c r="E160" s="73"/>
      <c r="F160" s="28"/>
      <c r="G160" s="182"/>
      <c r="H160" s="350"/>
      <c r="I160" s="183"/>
      <c r="N160" s="10"/>
      <c r="O160" s="351"/>
      <c r="P160" s="351"/>
      <c r="Q160" s="314"/>
      <c r="R160" s="184"/>
      <c r="S160" s="352"/>
    </row>
    <row r="161" ht="22.5" customHeight="1">
      <c r="C161" s="181"/>
      <c r="E161" s="73"/>
      <c r="F161" s="28"/>
      <c r="G161" s="182"/>
      <c r="H161" s="350"/>
      <c r="I161" s="183"/>
      <c r="N161" s="10"/>
      <c r="O161" s="351"/>
      <c r="P161" s="351"/>
      <c r="Q161" s="314"/>
      <c r="R161" s="184"/>
      <c r="S161" s="352"/>
    </row>
    <row r="162" ht="22.5" customHeight="1">
      <c r="C162" s="181"/>
      <c r="E162" s="73"/>
      <c r="F162" s="28"/>
      <c r="G162" s="182"/>
      <c r="H162" s="350"/>
      <c r="I162" s="183"/>
      <c r="N162" s="10"/>
      <c r="O162" s="351"/>
      <c r="P162" s="351"/>
      <c r="Q162" s="314"/>
      <c r="R162" s="184"/>
      <c r="S162" s="352"/>
    </row>
    <row r="163" ht="22.5" customHeight="1">
      <c r="C163" s="181"/>
      <c r="E163" s="73"/>
      <c r="F163" s="28"/>
      <c r="G163" s="182"/>
      <c r="H163" s="350"/>
      <c r="I163" s="183"/>
      <c r="N163" s="10"/>
      <c r="O163" s="351"/>
      <c r="P163" s="351"/>
      <c r="Q163" s="314"/>
      <c r="R163" s="184"/>
      <c r="S163" s="352"/>
    </row>
    <row r="164" ht="22.5" customHeight="1">
      <c r="C164" s="181"/>
      <c r="E164" s="73"/>
      <c r="F164" s="28"/>
      <c r="G164" s="182"/>
      <c r="H164" s="350"/>
      <c r="I164" s="183"/>
      <c r="N164" s="10"/>
      <c r="O164" s="351"/>
      <c r="P164" s="351"/>
      <c r="Q164" s="314"/>
      <c r="R164" s="184"/>
      <c r="S164" s="352"/>
    </row>
    <row r="165" ht="22.5" customHeight="1">
      <c r="C165" s="181"/>
      <c r="E165" s="73"/>
      <c r="F165" s="28"/>
      <c r="G165" s="182"/>
      <c r="H165" s="350"/>
      <c r="I165" s="183"/>
      <c r="N165" s="10"/>
      <c r="O165" s="351"/>
      <c r="P165" s="351"/>
      <c r="Q165" s="314"/>
      <c r="R165" s="184"/>
      <c r="S165" s="352"/>
    </row>
    <row r="166" ht="22.5" customHeight="1">
      <c r="C166" s="181"/>
      <c r="E166" s="73"/>
      <c r="F166" s="28"/>
      <c r="G166" s="182"/>
      <c r="H166" s="350"/>
      <c r="I166" s="183"/>
      <c r="N166" s="10"/>
      <c r="O166" s="351"/>
      <c r="P166" s="351"/>
      <c r="Q166" s="314"/>
      <c r="R166" s="184"/>
      <c r="S166" s="352"/>
    </row>
    <row r="167" ht="22.5" customHeight="1">
      <c r="C167" s="181"/>
      <c r="E167" s="73"/>
      <c r="F167" s="28"/>
      <c r="G167" s="182"/>
      <c r="H167" s="350"/>
      <c r="I167" s="183"/>
      <c r="N167" s="10"/>
      <c r="O167" s="351"/>
      <c r="P167" s="351"/>
      <c r="Q167" s="314"/>
      <c r="R167" s="184"/>
      <c r="S167" s="352"/>
    </row>
    <row r="168" ht="22.5" customHeight="1">
      <c r="C168" s="181"/>
      <c r="E168" s="73"/>
      <c r="F168" s="28"/>
      <c r="G168" s="182"/>
      <c r="H168" s="350"/>
      <c r="I168" s="183"/>
      <c r="N168" s="10"/>
      <c r="O168" s="351"/>
      <c r="P168" s="351"/>
      <c r="Q168" s="314"/>
      <c r="R168" s="184"/>
      <c r="S168" s="352"/>
    </row>
    <row r="169" ht="22.5" customHeight="1">
      <c r="C169" s="181"/>
      <c r="E169" s="73"/>
      <c r="F169" s="28"/>
      <c r="G169" s="182"/>
      <c r="H169" s="350"/>
      <c r="I169" s="183"/>
      <c r="N169" s="10"/>
      <c r="O169" s="351"/>
      <c r="P169" s="351"/>
      <c r="Q169" s="314"/>
      <c r="R169" s="184"/>
      <c r="S169" s="352"/>
    </row>
    <row r="170" ht="22.5" customHeight="1">
      <c r="C170" s="181"/>
      <c r="E170" s="73"/>
      <c r="F170" s="28"/>
      <c r="G170" s="182"/>
      <c r="H170" s="350"/>
      <c r="I170" s="183"/>
      <c r="N170" s="10"/>
      <c r="O170" s="351"/>
      <c r="P170" s="351"/>
      <c r="Q170" s="314"/>
      <c r="R170" s="184"/>
      <c r="S170" s="352"/>
    </row>
    <row r="171" ht="22.5" customHeight="1">
      <c r="C171" s="181"/>
      <c r="E171" s="73"/>
      <c r="F171" s="28"/>
      <c r="G171" s="182"/>
      <c r="H171" s="350"/>
      <c r="I171" s="183"/>
      <c r="N171" s="10"/>
      <c r="O171" s="351"/>
      <c r="P171" s="351"/>
      <c r="Q171" s="314"/>
      <c r="R171" s="184"/>
      <c r="S171" s="352"/>
    </row>
    <row r="172" ht="22.5" customHeight="1">
      <c r="C172" s="181"/>
      <c r="E172" s="73"/>
      <c r="F172" s="28"/>
      <c r="G172" s="182"/>
      <c r="H172" s="350"/>
      <c r="I172" s="183"/>
      <c r="N172" s="10"/>
      <c r="O172" s="351"/>
      <c r="P172" s="351"/>
      <c r="Q172" s="314"/>
      <c r="R172" s="184"/>
      <c r="S172" s="352"/>
    </row>
    <row r="173" ht="22.5" customHeight="1">
      <c r="C173" s="181"/>
      <c r="E173" s="73"/>
      <c r="F173" s="28"/>
      <c r="G173" s="182"/>
      <c r="H173" s="350"/>
      <c r="I173" s="183"/>
      <c r="N173" s="10"/>
      <c r="O173" s="351"/>
      <c r="P173" s="351"/>
      <c r="Q173" s="314"/>
      <c r="R173" s="184"/>
      <c r="S173" s="352"/>
    </row>
    <row r="174" ht="22.5" customHeight="1">
      <c r="C174" s="181"/>
      <c r="E174" s="73"/>
      <c r="F174" s="28"/>
      <c r="G174" s="182"/>
      <c r="H174" s="350"/>
      <c r="I174" s="183"/>
      <c r="N174" s="10"/>
      <c r="O174" s="351"/>
      <c r="P174" s="351"/>
      <c r="Q174" s="314"/>
      <c r="R174" s="184"/>
      <c r="S174" s="352"/>
    </row>
    <row r="175" ht="22.5" customHeight="1">
      <c r="C175" s="181"/>
      <c r="E175" s="73"/>
      <c r="F175" s="28"/>
      <c r="G175" s="182"/>
      <c r="H175" s="350"/>
      <c r="I175" s="183"/>
      <c r="N175" s="10"/>
      <c r="O175" s="351"/>
      <c r="P175" s="351"/>
      <c r="Q175" s="314"/>
      <c r="R175" s="184"/>
      <c r="S175" s="352"/>
    </row>
    <row r="176" ht="22.5" customHeight="1">
      <c r="C176" s="181"/>
      <c r="E176" s="73"/>
      <c r="F176" s="28"/>
      <c r="G176" s="182"/>
      <c r="H176" s="350"/>
      <c r="I176" s="183"/>
      <c r="N176" s="10"/>
      <c r="O176" s="351"/>
      <c r="P176" s="351"/>
      <c r="Q176" s="314"/>
      <c r="R176" s="184"/>
      <c r="S176" s="352"/>
    </row>
    <row r="177" ht="22.5" customHeight="1">
      <c r="C177" s="181"/>
      <c r="E177" s="73"/>
      <c r="F177" s="28"/>
      <c r="G177" s="182"/>
      <c r="H177" s="350"/>
      <c r="I177" s="183"/>
      <c r="N177" s="10"/>
      <c r="O177" s="351"/>
      <c r="P177" s="351"/>
      <c r="Q177" s="314"/>
      <c r="R177" s="184"/>
      <c r="S177" s="352"/>
    </row>
    <row r="178" ht="22.5" customHeight="1">
      <c r="C178" s="181"/>
      <c r="E178" s="73"/>
      <c r="F178" s="28"/>
      <c r="G178" s="182"/>
      <c r="H178" s="350"/>
      <c r="I178" s="183"/>
      <c r="N178" s="10"/>
      <c r="O178" s="351"/>
      <c r="P178" s="351"/>
      <c r="Q178" s="314"/>
      <c r="R178" s="184"/>
      <c r="S178" s="352"/>
    </row>
    <row r="179" ht="22.5" customHeight="1">
      <c r="C179" s="181"/>
      <c r="E179" s="73"/>
      <c r="F179" s="28"/>
      <c r="G179" s="182"/>
      <c r="H179" s="350"/>
      <c r="I179" s="183"/>
      <c r="N179" s="10"/>
      <c r="O179" s="351"/>
      <c r="P179" s="351"/>
      <c r="Q179" s="314"/>
      <c r="R179" s="184"/>
      <c r="S179" s="352"/>
    </row>
    <row r="180" ht="22.5" customHeight="1">
      <c r="C180" s="181"/>
      <c r="E180" s="73"/>
      <c r="F180" s="28"/>
      <c r="G180" s="182"/>
      <c r="H180" s="350"/>
      <c r="I180" s="183"/>
      <c r="N180" s="10"/>
      <c r="O180" s="351"/>
      <c r="P180" s="351"/>
      <c r="Q180" s="314"/>
      <c r="R180" s="184"/>
      <c r="S180" s="352"/>
    </row>
    <row r="181" ht="22.5" customHeight="1">
      <c r="C181" s="181"/>
      <c r="E181" s="73"/>
      <c r="F181" s="28"/>
      <c r="G181" s="182"/>
      <c r="H181" s="350"/>
      <c r="I181" s="183"/>
      <c r="N181" s="10"/>
      <c r="O181" s="351"/>
      <c r="P181" s="351"/>
      <c r="Q181" s="314"/>
      <c r="R181" s="184"/>
      <c r="S181" s="352"/>
    </row>
    <row r="182" ht="22.5" customHeight="1">
      <c r="C182" s="181"/>
      <c r="E182" s="73"/>
      <c r="F182" s="28"/>
      <c r="G182" s="182"/>
      <c r="H182" s="350"/>
      <c r="I182" s="183"/>
      <c r="N182" s="10"/>
      <c r="O182" s="351"/>
      <c r="P182" s="351"/>
      <c r="Q182" s="314"/>
      <c r="R182" s="184"/>
      <c r="S182" s="352"/>
    </row>
    <row r="183" ht="22.5" customHeight="1">
      <c r="C183" s="181"/>
      <c r="E183" s="73"/>
      <c r="F183" s="28"/>
      <c r="G183" s="182"/>
      <c r="H183" s="350"/>
      <c r="I183" s="183"/>
      <c r="N183" s="10"/>
      <c r="O183" s="351"/>
      <c r="P183" s="351"/>
      <c r="Q183" s="314"/>
      <c r="R183" s="184"/>
      <c r="S183" s="352"/>
    </row>
    <row r="184" ht="22.5" customHeight="1">
      <c r="C184" s="181"/>
      <c r="E184" s="73"/>
      <c r="F184" s="28"/>
      <c r="G184" s="182"/>
      <c r="H184" s="350"/>
      <c r="I184" s="183"/>
      <c r="N184" s="10"/>
      <c r="O184" s="351"/>
      <c r="P184" s="351"/>
      <c r="Q184" s="314"/>
      <c r="R184" s="184"/>
      <c r="S184" s="352"/>
    </row>
    <row r="185" ht="22.5" customHeight="1">
      <c r="C185" s="181"/>
      <c r="E185" s="73"/>
      <c r="F185" s="28"/>
      <c r="G185" s="182"/>
      <c r="H185" s="350"/>
      <c r="I185" s="183"/>
      <c r="N185" s="10"/>
      <c r="O185" s="351"/>
      <c r="P185" s="351"/>
      <c r="Q185" s="314"/>
      <c r="R185" s="184"/>
      <c r="S185" s="352"/>
    </row>
    <row r="186" ht="22.5" customHeight="1">
      <c r="C186" s="181"/>
      <c r="E186" s="73"/>
      <c r="F186" s="28"/>
      <c r="G186" s="182"/>
      <c r="H186" s="350"/>
      <c r="I186" s="183"/>
      <c r="N186" s="10"/>
      <c r="O186" s="351"/>
      <c r="P186" s="351"/>
      <c r="Q186" s="314"/>
      <c r="R186" s="184"/>
      <c r="S186" s="352"/>
    </row>
    <row r="187" ht="22.5" customHeight="1">
      <c r="C187" s="181"/>
      <c r="E187" s="73"/>
      <c r="F187" s="28"/>
      <c r="G187" s="182"/>
      <c r="H187" s="350"/>
      <c r="I187" s="183"/>
      <c r="N187" s="10"/>
      <c r="O187" s="351"/>
      <c r="P187" s="351"/>
      <c r="Q187" s="314"/>
      <c r="R187" s="184"/>
      <c r="S187" s="352"/>
    </row>
    <row r="188" ht="22.5" customHeight="1">
      <c r="C188" s="181"/>
      <c r="E188" s="73"/>
      <c r="F188" s="28"/>
      <c r="G188" s="182"/>
      <c r="H188" s="350"/>
      <c r="I188" s="183"/>
      <c r="N188" s="10"/>
      <c r="O188" s="351"/>
      <c r="P188" s="351"/>
      <c r="Q188" s="314"/>
      <c r="R188" s="184"/>
      <c r="S188" s="352"/>
    </row>
    <row r="189" ht="22.5" customHeight="1">
      <c r="C189" s="181"/>
      <c r="E189" s="73"/>
      <c r="F189" s="28"/>
      <c r="G189" s="182"/>
      <c r="H189" s="350"/>
      <c r="I189" s="183"/>
      <c r="N189" s="10"/>
      <c r="O189" s="351"/>
      <c r="P189" s="351"/>
      <c r="Q189" s="314"/>
      <c r="R189" s="184"/>
      <c r="S189" s="352"/>
    </row>
    <row r="190" ht="22.5" customHeight="1">
      <c r="C190" s="181"/>
      <c r="E190" s="73"/>
      <c r="F190" s="28"/>
      <c r="G190" s="182"/>
      <c r="H190" s="350"/>
      <c r="I190" s="183"/>
      <c r="N190" s="10"/>
      <c r="O190" s="351"/>
      <c r="P190" s="351"/>
      <c r="Q190" s="314"/>
      <c r="R190" s="184"/>
      <c r="S190" s="352"/>
    </row>
    <row r="191" ht="22.5" customHeight="1">
      <c r="C191" s="181"/>
      <c r="E191" s="73"/>
      <c r="F191" s="28"/>
      <c r="G191" s="182"/>
      <c r="H191" s="350"/>
      <c r="I191" s="183"/>
      <c r="N191" s="10"/>
      <c r="O191" s="351"/>
      <c r="P191" s="351"/>
      <c r="Q191" s="314"/>
      <c r="R191" s="184"/>
      <c r="S191" s="352"/>
    </row>
    <row r="192" ht="22.5" customHeight="1">
      <c r="C192" s="181"/>
      <c r="E192" s="73"/>
      <c r="F192" s="28"/>
      <c r="G192" s="182"/>
      <c r="H192" s="350"/>
      <c r="I192" s="183"/>
      <c r="N192" s="10"/>
      <c r="O192" s="351"/>
      <c r="P192" s="351"/>
      <c r="Q192" s="314"/>
      <c r="R192" s="184"/>
      <c r="S192" s="352"/>
    </row>
    <row r="193" ht="22.5" customHeight="1">
      <c r="C193" s="181"/>
      <c r="E193" s="73"/>
      <c r="F193" s="28"/>
      <c r="G193" s="182"/>
      <c r="H193" s="350"/>
      <c r="I193" s="183"/>
      <c r="N193" s="10"/>
      <c r="O193" s="351"/>
      <c r="P193" s="351"/>
      <c r="Q193" s="314"/>
      <c r="R193" s="184"/>
      <c r="S193" s="352"/>
    </row>
    <row r="194" ht="22.5" customHeight="1">
      <c r="C194" s="181"/>
      <c r="E194" s="73"/>
      <c r="F194" s="28"/>
      <c r="G194" s="182"/>
      <c r="H194" s="350"/>
      <c r="I194" s="183"/>
      <c r="N194" s="10"/>
      <c r="O194" s="351"/>
      <c r="P194" s="351"/>
      <c r="Q194" s="314"/>
      <c r="R194" s="184"/>
      <c r="S194" s="352"/>
    </row>
    <row r="195" ht="22.5" customHeight="1">
      <c r="C195" s="181"/>
      <c r="E195" s="73"/>
      <c r="F195" s="28"/>
      <c r="G195" s="182"/>
      <c r="H195" s="350"/>
      <c r="I195" s="183"/>
      <c r="N195" s="10"/>
      <c r="O195" s="351"/>
      <c r="P195" s="351"/>
      <c r="Q195" s="314"/>
      <c r="R195" s="184"/>
      <c r="S195" s="352"/>
    </row>
    <row r="196" ht="22.5" customHeight="1">
      <c r="C196" s="181"/>
      <c r="E196" s="73"/>
      <c r="F196" s="28"/>
      <c r="G196" s="182"/>
      <c r="H196" s="350"/>
      <c r="I196" s="183"/>
      <c r="N196" s="10"/>
      <c r="O196" s="351"/>
      <c r="P196" s="351"/>
      <c r="Q196" s="314"/>
      <c r="R196" s="184"/>
      <c r="S196" s="352"/>
    </row>
    <row r="197" ht="22.5" customHeight="1">
      <c r="C197" s="181"/>
      <c r="E197" s="73"/>
      <c r="F197" s="28"/>
      <c r="G197" s="182"/>
      <c r="H197" s="350"/>
      <c r="I197" s="183"/>
      <c r="N197" s="10"/>
      <c r="O197" s="351"/>
      <c r="P197" s="351"/>
      <c r="Q197" s="314"/>
      <c r="R197" s="184"/>
      <c r="S197" s="352"/>
    </row>
    <row r="198" ht="22.5" customHeight="1">
      <c r="C198" s="181"/>
      <c r="E198" s="73"/>
      <c r="F198" s="28"/>
      <c r="G198" s="182"/>
      <c r="H198" s="350"/>
      <c r="I198" s="183"/>
      <c r="N198" s="10"/>
      <c r="O198" s="351"/>
      <c r="P198" s="351"/>
      <c r="Q198" s="314"/>
      <c r="R198" s="184"/>
      <c r="S198" s="352"/>
    </row>
    <row r="199" ht="22.5" customHeight="1">
      <c r="C199" s="181"/>
      <c r="E199" s="73"/>
      <c r="F199" s="28"/>
      <c r="G199" s="182"/>
      <c r="H199" s="350"/>
      <c r="I199" s="183"/>
      <c r="N199" s="10"/>
      <c r="O199" s="351"/>
      <c r="P199" s="351"/>
      <c r="Q199" s="314"/>
      <c r="R199" s="184"/>
      <c r="S199" s="352"/>
    </row>
    <row r="200" ht="22.5" customHeight="1">
      <c r="C200" s="181"/>
      <c r="E200" s="73"/>
      <c r="F200" s="28"/>
      <c r="G200" s="182"/>
      <c r="H200" s="350"/>
      <c r="I200" s="183"/>
      <c r="N200" s="10"/>
      <c r="O200" s="351"/>
      <c r="P200" s="351"/>
      <c r="Q200" s="314"/>
      <c r="R200" s="184"/>
      <c r="S200" s="352"/>
    </row>
    <row r="201" ht="22.5" customHeight="1">
      <c r="C201" s="181"/>
      <c r="E201" s="73"/>
      <c r="F201" s="28"/>
      <c r="G201" s="182"/>
      <c r="H201" s="350"/>
      <c r="I201" s="183"/>
      <c r="N201" s="10"/>
      <c r="O201" s="351"/>
      <c r="P201" s="351"/>
      <c r="Q201" s="314"/>
      <c r="R201" s="184"/>
      <c r="S201" s="352"/>
    </row>
    <row r="202" ht="22.5" customHeight="1">
      <c r="C202" s="181"/>
      <c r="E202" s="73"/>
      <c r="F202" s="28"/>
      <c r="G202" s="182"/>
      <c r="H202" s="350"/>
      <c r="I202" s="183"/>
      <c r="N202" s="10"/>
      <c r="O202" s="351"/>
      <c r="P202" s="351"/>
      <c r="Q202" s="314"/>
      <c r="R202" s="184"/>
      <c r="S202" s="352"/>
    </row>
    <row r="203" ht="22.5" customHeight="1">
      <c r="C203" s="181"/>
      <c r="E203" s="73"/>
      <c r="F203" s="28"/>
      <c r="G203" s="182"/>
      <c r="H203" s="350"/>
      <c r="I203" s="183"/>
      <c r="N203" s="10"/>
      <c r="O203" s="351"/>
      <c r="P203" s="351"/>
      <c r="Q203" s="314"/>
      <c r="R203" s="184"/>
      <c r="S203" s="352"/>
    </row>
    <row r="204" ht="22.5" customHeight="1">
      <c r="C204" s="181"/>
      <c r="E204" s="73"/>
      <c r="F204" s="28"/>
      <c r="G204" s="182"/>
      <c r="H204" s="350"/>
      <c r="I204" s="183"/>
      <c r="N204" s="10"/>
      <c r="O204" s="351"/>
      <c r="P204" s="351"/>
      <c r="Q204" s="314"/>
      <c r="R204" s="184"/>
      <c r="S204" s="352"/>
    </row>
    <row r="205" ht="22.5" customHeight="1">
      <c r="C205" s="181"/>
      <c r="E205" s="73"/>
      <c r="F205" s="28"/>
      <c r="G205" s="182"/>
      <c r="H205" s="350"/>
      <c r="I205" s="183"/>
      <c r="N205" s="10"/>
      <c r="O205" s="351"/>
      <c r="P205" s="351"/>
      <c r="Q205" s="314"/>
      <c r="R205" s="184"/>
      <c r="S205" s="352"/>
    </row>
    <row r="206" ht="22.5" customHeight="1">
      <c r="C206" s="181"/>
      <c r="E206" s="73"/>
      <c r="F206" s="28"/>
      <c r="G206" s="182"/>
      <c r="H206" s="350"/>
      <c r="I206" s="183"/>
      <c r="N206" s="10"/>
      <c r="O206" s="351"/>
      <c r="P206" s="351"/>
      <c r="Q206" s="314"/>
      <c r="R206" s="184"/>
      <c r="S206" s="352"/>
    </row>
    <row r="207" ht="22.5" customHeight="1">
      <c r="C207" s="181"/>
      <c r="E207" s="73"/>
      <c r="F207" s="28"/>
      <c r="G207" s="182"/>
      <c r="H207" s="350"/>
      <c r="I207" s="183"/>
      <c r="N207" s="10"/>
      <c r="O207" s="351"/>
      <c r="P207" s="351"/>
      <c r="Q207" s="314"/>
      <c r="R207" s="184"/>
      <c r="S207" s="352"/>
    </row>
    <row r="208" ht="22.5" customHeight="1">
      <c r="C208" s="181"/>
      <c r="E208" s="73"/>
      <c r="F208" s="28"/>
      <c r="G208" s="182"/>
      <c r="H208" s="350"/>
      <c r="I208" s="183"/>
      <c r="N208" s="10"/>
      <c r="O208" s="351"/>
      <c r="P208" s="351"/>
      <c r="Q208" s="314"/>
      <c r="R208" s="184"/>
      <c r="S208" s="352"/>
    </row>
    <row r="209" ht="22.5" customHeight="1">
      <c r="C209" s="181"/>
      <c r="E209" s="73"/>
      <c r="F209" s="28"/>
      <c r="G209" s="182"/>
      <c r="H209" s="350"/>
      <c r="I209" s="183"/>
      <c r="N209" s="10"/>
      <c r="O209" s="351"/>
      <c r="P209" s="351"/>
      <c r="Q209" s="314"/>
      <c r="R209" s="184"/>
      <c r="S209" s="352"/>
    </row>
    <row r="210" ht="22.5" customHeight="1">
      <c r="C210" s="181"/>
      <c r="E210" s="73"/>
      <c r="F210" s="28"/>
      <c r="G210" s="182"/>
      <c r="H210" s="350"/>
      <c r="I210" s="183"/>
      <c r="N210" s="10"/>
      <c r="O210" s="351"/>
      <c r="P210" s="351"/>
      <c r="Q210" s="314"/>
      <c r="R210" s="184"/>
      <c r="S210" s="352"/>
    </row>
    <row r="211" ht="22.5" customHeight="1">
      <c r="C211" s="181"/>
      <c r="E211" s="73"/>
      <c r="F211" s="28"/>
      <c r="G211" s="182"/>
      <c r="H211" s="350"/>
      <c r="I211" s="183"/>
      <c r="N211" s="10"/>
      <c r="O211" s="351"/>
      <c r="P211" s="351"/>
      <c r="Q211" s="314"/>
      <c r="R211" s="184"/>
      <c r="S211" s="352"/>
    </row>
    <row r="212" ht="22.5" customHeight="1">
      <c r="C212" s="181"/>
      <c r="E212" s="73"/>
      <c r="F212" s="28"/>
      <c r="G212" s="182"/>
      <c r="H212" s="350"/>
      <c r="I212" s="183"/>
      <c r="N212" s="10"/>
      <c r="O212" s="351"/>
      <c r="P212" s="351"/>
      <c r="Q212" s="314"/>
      <c r="R212" s="184"/>
      <c r="S212" s="352"/>
    </row>
    <row r="213" ht="22.5" customHeight="1">
      <c r="C213" s="181"/>
      <c r="E213" s="73"/>
      <c r="F213" s="28"/>
      <c r="G213" s="182"/>
      <c r="H213" s="350"/>
      <c r="I213" s="183"/>
      <c r="N213" s="10"/>
      <c r="O213" s="351"/>
      <c r="P213" s="351"/>
      <c r="Q213" s="314"/>
      <c r="R213" s="184"/>
      <c r="S213" s="352"/>
    </row>
    <row r="214" ht="22.5" customHeight="1">
      <c r="C214" s="181"/>
      <c r="E214" s="73"/>
      <c r="F214" s="28"/>
      <c r="G214" s="182"/>
      <c r="H214" s="350"/>
      <c r="I214" s="183"/>
      <c r="N214" s="10"/>
      <c r="O214" s="351"/>
      <c r="P214" s="351"/>
      <c r="Q214" s="314"/>
      <c r="R214" s="184"/>
      <c r="S214" s="352"/>
    </row>
    <row r="215" ht="22.5" customHeight="1">
      <c r="C215" s="181"/>
      <c r="E215" s="73"/>
      <c r="F215" s="28"/>
      <c r="G215" s="182"/>
      <c r="H215" s="350"/>
      <c r="I215" s="183"/>
      <c r="N215" s="10"/>
      <c r="O215" s="351"/>
      <c r="P215" s="351"/>
      <c r="Q215" s="314"/>
      <c r="R215" s="184"/>
      <c r="S215" s="352"/>
    </row>
    <row r="216" ht="22.5" customHeight="1">
      <c r="C216" s="181"/>
      <c r="E216" s="73"/>
      <c r="F216" s="28"/>
      <c r="G216" s="182"/>
      <c r="H216" s="350"/>
      <c r="I216" s="183"/>
      <c r="N216" s="10"/>
      <c r="O216" s="351"/>
      <c r="P216" s="351"/>
      <c r="Q216" s="314"/>
      <c r="R216" s="184"/>
      <c r="S216" s="352"/>
    </row>
    <row r="217" ht="22.5" customHeight="1">
      <c r="C217" s="181"/>
      <c r="E217" s="73"/>
      <c r="F217" s="28"/>
      <c r="G217" s="182"/>
      <c r="H217" s="350"/>
      <c r="I217" s="183"/>
      <c r="N217" s="10"/>
      <c r="O217" s="351"/>
      <c r="P217" s="351"/>
      <c r="Q217" s="314"/>
      <c r="R217" s="184"/>
      <c r="S217" s="352"/>
    </row>
    <row r="218" ht="22.5" customHeight="1">
      <c r="C218" s="181"/>
      <c r="E218" s="73"/>
      <c r="F218" s="28"/>
      <c r="G218" s="182"/>
      <c r="H218" s="350"/>
      <c r="I218" s="183"/>
      <c r="N218" s="10"/>
      <c r="O218" s="351"/>
      <c r="P218" s="351"/>
      <c r="Q218" s="314"/>
      <c r="R218" s="184"/>
      <c r="S218" s="352"/>
    </row>
    <row r="219" ht="22.5" customHeight="1">
      <c r="C219" s="181"/>
      <c r="E219" s="73"/>
      <c r="F219" s="28"/>
      <c r="G219" s="182"/>
      <c r="H219" s="350"/>
      <c r="I219" s="183"/>
      <c r="N219" s="10"/>
      <c r="O219" s="351"/>
      <c r="P219" s="351"/>
      <c r="Q219" s="314"/>
      <c r="R219" s="184"/>
      <c r="S219" s="352"/>
    </row>
    <row r="220" ht="22.5" customHeight="1">
      <c r="C220" s="181"/>
      <c r="E220" s="73"/>
      <c r="F220" s="28"/>
      <c r="G220" s="182"/>
      <c r="H220" s="350"/>
      <c r="I220" s="183"/>
      <c r="N220" s="10"/>
      <c r="O220" s="351"/>
      <c r="P220" s="351"/>
      <c r="Q220" s="314"/>
      <c r="R220" s="184"/>
      <c r="S220" s="352"/>
    </row>
    <row r="221" ht="22.5" customHeight="1">
      <c r="C221" s="181"/>
      <c r="E221" s="73"/>
      <c r="F221" s="28"/>
      <c r="G221" s="182"/>
      <c r="H221" s="350"/>
      <c r="I221" s="183"/>
      <c r="N221" s="10"/>
      <c r="O221" s="351"/>
      <c r="P221" s="351"/>
      <c r="Q221" s="314"/>
      <c r="R221" s="184"/>
      <c r="S221" s="352"/>
    </row>
    <row r="222" ht="22.5" customHeight="1">
      <c r="C222" s="181"/>
      <c r="E222" s="73"/>
      <c r="F222" s="28"/>
      <c r="G222" s="182"/>
      <c r="H222" s="350"/>
      <c r="I222" s="183"/>
      <c r="N222" s="10"/>
      <c r="O222" s="351"/>
      <c r="P222" s="351"/>
      <c r="Q222" s="314"/>
      <c r="R222" s="184"/>
      <c r="S222" s="352"/>
    </row>
    <row r="223" ht="22.5" customHeight="1">
      <c r="C223" s="181"/>
      <c r="E223" s="73"/>
      <c r="F223" s="28"/>
      <c r="G223" s="182"/>
      <c r="H223" s="350"/>
      <c r="I223" s="183"/>
      <c r="N223" s="10"/>
      <c r="O223" s="351"/>
      <c r="P223" s="351"/>
      <c r="Q223" s="314"/>
      <c r="R223" s="184"/>
      <c r="S223" s="352"/>
    </row>
    <row r="224" ht="22.5" customHeight="1">
      <c r="C224" s="181"/>
      <c r="E224" s="73"/>
      <c r="F224" s="28"/>
      <c r="G224" s="182"/>
      <c r="H224" s="350"/>
      <c r="I224" s="183"/>
      <c r="N224" s="10"/>
      <c r="O224" s="351"/>
      <c r="P224" s="351"/>
      <c r="Q224" s="314"/>
      <c r="R224" s="184"/>
      <c r="S224" s="352"/>
    </row>
    <row r="225" ht="22.5" customHeight="1">
      <c r="C225" s="181"/>
      <c r="E225" s="73"/>
      <c r="F225" s="28"/>
      <c r="G225" s="182"/>
      <c r="H225" s="350"/>
      <c r="I225" s="183"/>
      <c r="N225" s="10"/>
      <c r="O225" s="351"/>
      <c r="P225" s="351"/>
      <c r="Q225" s="314"/>
      <c r="R225" s="184"/>
      <c r="S225" s="352"/>
    </row>
    <row r="226" ht="22.5" customHeight="1">
      <c r="C226" s="181"/>
      <c r="E226" s="73"/>
      <c r="F226" s="28"/>
      <c r="G226" s="182"/>
      <c r="H226" s="350"/>
      <c r="I226" s="183"/>
      <c r="N226" s="10"/>
      <c r="O226" s="351"/>
      <c r="P226" s="351"/>
      <c r="Q226" s="314"/>
      <c r="R226" s="184"/>
      <c r="S226" s="352"/>
    </row>
    <row r="227" ht="22.5" customHeight="1">
      <c r="C227" s="181"/>
      <c r="E227" s="73"/>
      <c r="F227" s="28"/>
      <c r="G227" s="182"/>
      <c r="H227" s="350"/>
      <c r="I227" s="183"/>
      <c r="N227" s="10"/>
      <c r="O227" s="351"/>
      <c r="P227" s="351"/>
      <c r="Q227" s="314"/>
      <c r="R227" s="184"/>
      <c r="S227" s="352"/>
    </row>
    <row r="228" ht="22.5" customHeight="1">
      <c r="C228" s="181"/>
      <c r="E228" s="73"/>
      <c r="F228" s="28"/>
      <c r="G228" s="182"/>
      <c r="H228" s="350"/>
      <c r="I228" s="183"/>
      <c r="N228" s="10"/>
      <c r="O228" s="351"/>
      <c r="P228" s="351"/>
      <c r="Q228" s="314"/>
      <c r="R228" s="184"/>
      <c r="S228" s="352"/>
    </row>
    <row r="229" ht="22.5" customHeight="1">
      <c r="C229" s="181"/>
      <c r="E229" s="73"/>
      <c r="F229" s="28"/>
      <c r="G229" s="182"/>
      <c r="H229" s="350"/>
      <c r="I229" s="183"/>
      <c r="N229" s="10"/>
      <c r="O229" s="351"/>
      <c r="P229" s="351"/>
      <c r="Q229" s="314"/>
      <c r="R229" s="184"/>
      <c r="S229" s="352"/>
    </row>
    <row r="230" ht="22.5" customHeight="1">
      <c r="C230" s="181"/>
      <c r="E230" s="73"/>
      <c r="F230" s="28"/>
      <c r="G230" s="182"/>
      <c r="H230" s="350"/>
      <c r="I230" s="183"/>
      <c r="N230" s="10"/>
      <c r="O230" s="351"/>
      <c r="P230" s="351"/>
      <c r="Q230" s="314"/>
      <c r="R230" s="184"/>
      <c r="S230" s="352"/>
    </row>
    <row r="231" ht="22.5" customHeight="1">
      <c r="C231" s="181"/>
      <c r="E231" s="73"/>
      <c r="F231" s="28"/>
      <c r="G231" s="182"/>
      <c r="H231" s="350"/>
      <c r="I231" s="183"/>
      <c r="N231" s="10"/>
      <c r="O231" s="351"/>
      <c r="P231" s="351"/>
      <c r="Q231" s="314"/>
      <c r="R231" s="184"/>
      <c r="S231" s="352"/>
    </row>
    <row r="232" ht="22.5" customHeight="1">
      <c r="C232" s="181"/>
      <c r="E232" s="73"/>
      <c r="F232" s="28"/>
      <c r="G232" s="182"/>
      <c r="H232" s="350"/>
      <c r="I232" s="183"/>
      <c r="N232" s="10"/>
      <c r="O232" s="351"/>
      <c r="P232" s="351"/>
      <c r="Q232" s="314"/>
      <c r="R232" s="184"/>
      <c r="S232" s="352"/>
    </row>
    <row r="233" ht="22.5" customHeight="1">
      <c r="C233" s="181"/>
      <c r="E233" s="73"/>
      <c r="F233" s="28"/>
      <c r="G233" s="182"/>
      <c r="H233" s="350"/>
      <c r="I233" s="183"/>
      <c r="N233" s="10"/>
      <c r="O233" s="351"/>
      <c r="P233" s="351"/>
      <c r="Q233" s="314"/>
      <c r="R233" s="184"/>
      <c r="S233" s="352"/>
    </row>
    <row r="234" ht="22.5" customHeight="1">
      <c r="C234" s="181"/>
      <c r="E234" s="73"/>
      <c r="F234" s="28"/>
      <c r="G234" s="182"/>
      <c r="H234" s="350"/>
      <c r="I234" s="183"/>
      <c r="N234" s="10"/>
      <c r="O234" s="351"/>
      <c r="P234" s="351"/>
      <c r="Q234" s="314"/>
      <c r="R234" s="184"/>
      <c r="S234" s="352"/>
    </row>
    <row r="235" ht="22.5" customHeight="1">
      <c r="C235" s="181"/>
      <c r="E235" s="73"/>
      <c r="F235" s="28"/>
      <c r="G235" s="182"/>
      <c r="H235" s="350"/>
      <c r="I235" s="183"/>
      <c r="N235" s="10"/>
      <c r="O235" s="351"/>
      <c r="P235" s="351"/>
      <c r="Q235" s="314"/>
      <c r="R235" s="184"/>
      <c r="S235" s="352"/>
    </row>
    <row r="236" ht="22.5" customHeight="1">
      <c r="C236" s="181"/>
      <c r="E236" s="73"/>
      <c r="F236" s="28"/>
      <c r="G236" s="182"/>
      <c r="H236" s="350"/>
      <c r="I236" s="183"/>
      <c r="N236" s="10"/>
      <c r="O236" s="351"/>
      <c r="P236" s="351"/>
      <c r="Q236" s="314"/>
      <c r="R236" s="184"/>
      <c r="S236" s="352"/>
    </row>
    <row r="237" ht="22.5" customHeight="1">
      <c r="C237" s="181"/>
      <c r="E237" s="73"/>
      <c r="F237" s="28"/>
      <c r="G237" s="182"/>
      <c r="H237" s="350"/>
      <c r="I237" s="183"/>
      <c r="N237" s="10"/>
      <c r="O237" s="351"/>
      <c r="P237" s="351"/>
      <c r="Q237" s="314"/>
      <c r="R237" s="184"/>
      <c r="S237" s="352"/>
    </row>
    <row r="238" ht="22.5" customHeight="1">
      <c r="C238" s="181"/>
      <c r="E238" s="73"/>
      <c r="F238" s="28"/>
      <c r="G238" s="182"/>
      <c r="H238" s="350"/>
      <c r="I238" s="183"/>
      <c r="N238" s="10"/>
      <c r="O238" s="351"/>
      <c r="P238" s="351"/>
      <c r="Q238" s="314"/>
      <c r="R238" s="184"/>
      <c r="S238" s="352"/>
    </row>
    <row r="239" ht="22.5" customHeight="1">
      <c r="C239" s="181"/>
      <c r="E239" s="73"/>
      <c r="F239" s="28"/>
      <c r="G239" s="182"/>
      <c r="H239" s="350"/>
      <c r="I239" s="183"/>
      <c r="N239" s="10"/>
      <c r="O239" s="351"/>
      <c r="P239" s="351"/>
      <c r="Q239" s="314"/>
      <c r="R239" s="184"/>
      <c r="S239" s="352"/>
    </row>
    <row r="240" ht="22.5" customHeight="1">
      <c r="C240" s="181"/>
      <c r="E240" s="73"/>
      <c r="F240" s="28"/>
      <c r="G240" s="182"/>
      <c r="H240" s="350"/>
      <c r="I240" s="183"/>
      <c r="N240" s="10"/>
      <c r="O240" s="351"/>
      <c r="P240" s="351"/>
      <c r="Q240" s="314"/>
      <c r="R240" s="184"/>
      <c r="S240" s="352"/>
    </row>
    <row r="241" ht="22.5" customHeight="1">
      <c r="C241" s="181"/>
      <c r="E241" s="73"/>
      <c r="F241" s="28"/>
      <c r="G241" s="182"/>
      <c r="H241" s="350"/>
      <c r="I241" s="183"/>
      <c r="N241" s="10"/>
      <c r="O241" s="351"/>
      <c r="P241" s="351"/>
      <c r="Q241" s="314"/>
      <c r="R241" s="184"/>
      <c r="S241" s="352"/>
    </row>
    <row r="242" ht="22.5" customHeight="1">
      <c r="C242" s="181"/>
      <c r="E242" s="73"/>
      <c r="F242" s="28"/>
      <c r="G242" s="182"/>
      <c r="H242" s="350"/>
      <c r="I242" s="183"/>
      <c r="N242" s="10"/>
      <c r="O242" s="351"/>
      <c r="P242" s="351"/>
      <c r="Q242" s="314"/>
      <c r="R242" s="184"/>
      <c r="S242" s="352"/>
    </row>
    <row r="243" ht="22.5" customHeight="1">
      <c r="C243" s="181"/>
      <c r="E243" s="73"/>
      <c r="F243" s="28"/>
      <c r="G243" s="182"/>
      <c r="H243" s="350"/>
      <c r="I243" s="183"/>
      <c r="N243" s="10"/>
      <c r="O243" s="351"/>
      <c r="P243" s="351"/>
      <c r="Q243" s="314"/>
      <c r="R243" s="184"/>
      <c r="S243" s="352"/>
    </row>
    <row r="244" ht="22.5" customHeight="1">
      <c r="C244" s="181"/>
      <c r="E244" s="73"/>
      <c r="F244" s="28"/>
      <c r="G244" s="182"/>
      <c r="H244" s="350"/>
      <c r="I244" s="183"/>
      <c r="N244" s="10"/>
      <c r="O244" s="351"/>
      <c r="P244" s="351"/>
      <c r="Q244" s="314"/>
      <c r="R244" s="184"/>
      <c r="S244" s="352"/>
    </row>
    <row r="245" ht="22.5" customHeight="1">
      <c r="C245" s="181"/>
      <c r="E245" s="73"/>
      <c r="F245" s="28"/>
      <c r="G245" s="182"/>
      <c r="H245" s="350"/>
      <c r="I245" s="183"/>
      <c r="N245" s="10"/>
      <c r="O245" s="351"/>
      <c r="P245" s="351"/>
      <c r="Q245" s="314"/>
      <c r="R245" s="184"/>
      <c r="S245" s="352"/>
    </row>
    <row r="246" ht="22.5" customHeight="1">
      <c r="C246" s="181"/>
      <c r="E246" s="73"/>
      <c r="F246" s="28"/>
      <c r="G246" s="182"/>
      <c r="H246" s="350"/>
      <c r="I246" s="183"/>
      <c r="N246" s="10"/>
      <c r="O246" s="351"/>
      <c r="P246" s="351"/>
      <c r="Q246" s="314"/>
      <c r="R246" s="184"/>
      <c r="S246" s="352"/>
    </row>
    <row r="247" ht="22.5" customHeight="1">
      <c r="C247" s="181"/>
      <c r="E247" s="73"/>
      <c r="F247" s="28"/>
      <c r="G247" s="182"/>
      <c r="H247" s="350"/>
      <c r="I247" s="183"/>
      <c r="N247" s="10"/>
      <c r="O247" s="351"/>
      <c r="P247" s="351"/>
      <c r="Q247" s="314"/>
      <c r="R247" s="184"/>
      <c r="S247" s="352"/>
    </row>
    <row r="248" ht="22.5" customHeight="1">
      <c r="C248" s="181"/>
      <c r="E248" s="73"/>
      <c r="F248" s="28"/>
      <c r="G248" s="182"/>
      <c r="H248" s="350"/>
      <c r="I248" s="183"/>
      <c r="N248" s="10"/>
      <c r="O248" s="351"/>
      <c r="P248" s="351"/>
      <c r="Q248" s="314"/>
      <c r="R248" s="184"/>
      <c r="S248" s="352"/>
    </row>
    <row r="249" ht="22.5" customHeight="1">
      <c r="C249" s="181"/>
      <c r="E249" s="73"/>
      <c r="F249" s="28"/>
      <c r="G249" s="182"/>
      <c r="H249" s="350"/>
      <c r="I249" s="183"/>
      <c r="N249" s="10"/>
      <c r="O249" s="351"/>
      <c r="P249" s="351"/>
      <c r="Q249" s="314"/>
      <c r="R249" s="184"/>
      <c r="S249" s="352"/>
    </row>
    <row r="250" ht="22.5" customHeight="1">
      <c r="C250" s="181"/>
      <c r="E250" s="73"/>
      <c r="F250" s="28"/>
      <c r="G250" s="182"/>
      <c r="H250" s="350"/>
      <c r="I250" s="183"/>
      <c r="N250" s="10"/>
      <c r="O250" s="351"/>
      <c r="P250" s="351"/>
      <c r="Q250" s="314"/>
      <c r="R250" s="184"/>
      <c r="S250" s="352"/>
    </row>
    <row r="251" ht="22.5" customHeight="1">
      <c r="C251" s="181"/>
      <c r="E251" s="73"/>
      <c r="F251" s="28"/>
      <c r="G251" s="182"/>
      <c r="H251" s="350"/>
      <c r="I251" s="183"/>
      <c r="N251" s="10"/>
      <c r="O251" s="351"/>
      <c r="P251" s="351"/>
      <c r="Q251" s="314"/>
      <c r="R251" s="184"/>
      <c r="S251" s="352"/>
    </row>
    <row r="252" ht="22.5" customHeight="1">
      <c r="C252" s="181"/>
      <c r="E252" s="73"/>
      <c r="F252" s="28"/>
      <c r="G252" s="182"/>
      <c r="H252" s="350"/>
      <c r="I252" s="183"/>
      <c r="N252" s="10"/>
      <c r="O252" s="351"/>
      <c r="P252" s="351"/>
      <c r="Q252" s="314"/>
      <c r="R252" s="184"/>
      <c r="S252" s="352"/>
    </row>
    <row r="253" ht="22.5" customHeight="1">
      <c r="C253" s="181"/>
      <c r="E253" s="73"/>
      <c r="F253" s="28"/>
      <c r="G253" s="182"/>
      <c r="H253" s="350"/>
      <c r="I253" s="183"/>
      <c r="N253" s="10"/>
      <c r="O253" s="351"/>
      <c r="P253" s="351"/>
      <c r="Q253" s="314"/>
      <c r="R253" s="184"/>
      <c r="S253" s="352"/>
    </row>
    <row r="254" ht="22.5" customHeight="1">
      <c r="C254" s="181"/>
      <c r="E254" s="73"/>
      <c r="F254" s="28"/>
      <c r="G254" s="182"/>
      <c r="H254" s="350"/>
      <c r="I254" s="183"/>
      <c r="N254" s="10"/>
      <c r="O254" s="351"/>
      <c r="P254" s="351"/>
      <c r="Q254" s="314"/>
      <c r="R254" s="184"/>
      <c r="S254" s="352"/>
    </row>
    <row r="255" ht="22.5" customHeight="1">
      <c r="C255" s="181"/>
      <c r="E255" s="73"/>
      <c r="F255" s="28"/>
      <c r="G255" s="182"/>
      <c r="H255" s="350"/>
      <c r="I255" s="183"/>
      <c r="N255" s="10"/>
      <c r="O255" s="351"/>
      <c r="P255" s="351"/>
      <c r="Q255" s="314"/>
      <c r="R255" s="184"/>
      <c r="S255" s="352"/>
    </row>
    <row r="256" ht="22.5" customHeight="1">
      <c r="C256" s="181"/>
      <c r="E256" s="73"/>
      <c r="F256" s="28"/>
      <c r="G256" s="182"/>
      <c r="H256" s="350"/>
      <c r="I256" s="183"/>
      <c r="N256" s="10"/>
      <c r="O256" s="351"/>
      <c r="P256" s="351"/>
      <c r="Q256" s="314"/>
      <c r="R256" s="184"/>
      <c r="S256" s="352"/>
    </row>
    <row r="257" ht="22.5" customHeight="1">
      <c r="C257" s="181"/>
      <c r="E257" s="73"/>
      <c r="F257" s="28"/>
      <c r="G257" s="182"/>
      <c r="H257" s="350"/>
      <c r="I257" s="183"/>
      <c r="N257" s="10"/>
      <c r="O257" s="351"/>
      <c r="P257" s="351"/>
      <c r="Q257" s="314"/>
      <c r="R257" s="184"/>
      <c r="S257" s="352"/>
    </row>
    <row r="258" ht="22.5" customHeight="1">
      <c r="C258" s="181"/>
      <c r="E258" s="73"/>
      <c r="F258" s="28"/>
      <c r="G258" s="182"/>
      <c r="H258" s="350"/>
      <c r="I258" s="183"/>
      <c r="N258" s="10"/>
      <c r="O258" s="351"/>
      <c r="P258" s="351"/>
      <c r="Q258" s="314"/>
      <c r="R258" s="184"/>
      <c r="S258" s="352"/>
    </row>
    <row r="259" ht="22.5" customHeight="1">
      <c r="C259" s="181"/>
      <c r="E259" s="73"/>
      <c r="F259" s="28"/>
      <c r="G259" s="182"/>
      <c r="H259" s="350"/>
      <c r="I259" s="183"/>
      <c r="N259" s="10"/>
      <c r="O259" s="351"/>
      <c r="P259" s="351"/>
      <c r="Q259" s="314"/>
      <c r="R259" s="184"/>
      <c r="S259" s="352"/>
    </row>
    <row r="260" ht="22.5" customHeight="1">
      <c r="C260" s="181"/>
      <c r="E260" s="73"/>
      <c r="F260" s="28"/>
      <c r="G260" s="182"/>
      <c r="H260" s="350"/>
      <c r="I260" s="183"/>
      <c r="N260" s="10"/>
      <c r="O260" s="351"/>
      <c r="P260" s="351"/>
      <c r="Q260" s="314"/>
      <c r="R260" s="184"/>
      <c r="S260" s="352"/>
    </row>
    <row r="261" ht="22.5" customHeight="1">
      <c r="C261" s="181"/>
      <c r="E261" s="73"/>
      <c r="F261" s="28"/>
      <c r="G261" s="182"/>
      <c r="H261" s="350"/>
      <c r="I261" s="183"/>
      <c r="N261" s="10"/>
      <c r="O261" s="351"/>
      <c r="P261" s="351"/>
      <c r="Q261" s="314"/>
      <c r="R261" s="184"/>
      <c r="S261" s="352"/>
    </row>
    <row r="262" ht="22.5" customHeight="1">
      <c r="C262" s="181"/>
      <c r="E262" s="73"/>
      <c r="F262" s="28"/>
      <c r="G262" s="182"/>
      <c r="H262" s="350"/>
      <c r="I262" s="183"/>
      <c r="N262" s="10"/>
      <c r="O262" s="351"/>
      <c r="P262" s="351"/>
      <c r="Q262" s="314"/>
      <c r="R262" s="184"/>
      <c r="S262" s="352"/>
    </row>
    <row r="263" ht="22.5" customHeight="1">
      <c r="C263" s="181"/>
      <c r="E263" s="73"/>
      <c r="F263" s="28"/>
      <c r="G263" s="182"/>
      <c r="H263" s="350"/>
      <c r="I263" s="183"/>
      <c r="N263" s="10"/>
      <c r="O263" s="351"/>
      <c r="P263" s="351"/>
      <c r="Q263" s="314"/>
      <c r="R263" s="184"/>
      <c r="S263" s="352"/>
    </row>
    <row r="264" ht="22.5" customHeight="1">
      <c r="C264" s="181"/>
      <c r="E264" s="73"/>
      <c r="F264" s="28"/>
      <c r="G264" s="182"/>
      <c r="H264" s="350"/>
      <c r="I264" s="183"/>
      <c r="N264" s="10"/>
      <c r="O264" s="351"/>
      <c r="P264" s="351"/>
      <c r="Q264" s="314"/>
      <c r="R264" s="184"/>
      <c r="S264" s="352"/>
    </row>
    <row r="265" ht="22.5" customHeight="1">
      <c r="C265" s="181"/>
      <c r="E265" s="73"/>
      <c r="F265" s="28"/>
      <c r="G265" s="182"/>
      <c r="H265" s="350"/>
      <c r="I265" s="183"/>
      <c r="N265" s="10"/>
      <c r="O265" s="351"/>
      <c r="P265" s="351"/>
      <c r="Q265" s="314"/>
      <c r="R265" s="184"/>
      <c r="S265" s="352"/>
    </row>
    <row r="266" ht="22.5" customHeight="1">
      <c r="C266" s="181"/>
      <c r="E266" s="73"/>
      <c r="F266" s="28"/>
      <c r="G266" s="182"/>
      <c r="H266" s="350"/>
      <c r="I266" s="183"/>
      <c r="N266" s="10"/>
      <c r="O266" s="351"/>
      <c r="P266" s="351"/>
      <c r="Q266" s="314"/>
      <c r="R266" s="184"/>
      <c r="S266" s="352"/>
    </row>
    <row r="267" ht="22.5" customHeight="1">
      <c r="C267" s="181"/>
      <c r="E267" s="73"/>
      <c r="F267" s="28"/>
      <c r="G267" s="182"/>
      <c r="H267" s="350"/>
      <c r="I267" s="183"/>
      <c r="N267" s="10"/>
      <c r="O267" s="351"/>
      <c r="P267" s="351"/>
      <c r="Q267" s="314"/>
      <c r="R267" s="184"/>
      <c r="S267" s="352"/>
    </row>
    <row r="268" ht="22.5" customHeight="1">
      <c r="C268" s="181"/>
      <c r="E268" s="73"/>
      <c r="F268" s="28"/>
      <c r="G268" s="182"/>
      <c r="H268" s="350"/>
      <c r="I268" s="183"/>
      <c r="N268" s="10"/>
      <c r="O268" s="351"/>
      <c r="P268" s="351"/>
      <c r="Q268" s="314"/>
      <c r="R268" s="184"/>
      <c r="S268" s="352"/>
    </row>
    <row r="269" ht="22.5" customHeight="1">
      <c r="C269" s="181"/>
      <c r="E269" s="73"/>
      <c r="F269" s="28"/>
      <c r="G269" s="182"/>
      <c r="H269" s="350"/>
      <c r="I269" s="183"/>
      <c r="N269" s="10"/>
      <c r="O269" s="351"/>
      <c r="P269" s="351"/>
      <c r="Q269" s="314"/>
      <c r="R269" s="184"/>
      <c r="S269" s="352"/>
    </row>
    <row r="270" ht="22.5" customHeight="1">
      <c r="C270" s="181"/>
      <c r="E270" s="73"/>
      <c r="F270" s="28"/>
      <c r="G270" s="182"/>
      <c r="H270" s="350"/>
      <c r="I270" s="183"/>
      <c r="N270" s="10"/>
      <c r="O270" s="351"/>
      <c r="P270" s="351"/>
      <c r="Q270" s="314"/>
      <c r="R270" s="184"/>
      <c r="S270" s="352"/>
    </row>
    <row r="271" ht="22.5" customHeight="1">
      <c r="C271" s="181"/>
      <c r="E271" s="73"/>
      <c r="F271" s="28"/>
      <c r="G271" s="182"/>
      <c r="H271" s="350"/>
      <c r="I271" s="183"/>
      <c r="N271" s="10"/>
      <c r="O271" s="351"/>
      <c r="P271" s="351"/>
      <c r="Q271" s="314"/>
      <c r="R271" s="184"/>
      <c r="S271" s="352"/>
    </row>
    <row r="272" ht="22.5" customHeight="1">
      <c r="C272" s="181"/>
      <c r="E272" s="73"/>
      <c r="F272" s="28"/>
      <c r="G272" s="182"/>
      <c r="H272" s="350"/>
      <c r="I272" s="183"/>
      <c r="N272" s="10"/>
      <c r="O272" s="351"/>
      <c r="P272" s="351"/>
      <c r="Q272" s="314"/>
      <c r="R272" s="184"/>
      <c r="S272" s="352"/>
    </row>
    <row r="273" ht="22.5" customHeight="1">
      <c r="C273" s="181"/>
      <c r="E273" s="73"/>
      <c r="F273" s="28"/>
      <c r="G273" s="182"/>
      <c r="H273" s="350"/>
      <c r="I273" s="183"/>
      <c r="N273" s="10"/>
      <c r="O273" s="351"/>
      <c r="P273" s="351"/>
      <c r="Q273" s="314"/>
      <c r="R273" s="184"/>
      <c r="S273" s="352"/>
    </row>
    <row r="274" ht="22.5" customHeight="1">
      <c r="C274" s="181"/>
      <c r="E274" s="73"/>
      <c r="F274" s="28"/>
      <c r="G274" s="182"/>
      <c r="H274" s="350"/>
      <c r="I274" s="183"/>
      <c r="N274" s="10"/>
      <c r="O274" s="351"/>
      <c r="P274" s="351"/>
      <c r="Q274" s="314"/>
      <c r="R274" s="184"/>
      <c r="S274" s="352"/>
    </row>
    <row r="275" ht="22.5" customHeight="1">
      <c r="C275" s="181"/>
      <c r="E275" s="73"/>
      <c r="F275" s="28"/>
      <c r="G275" s="182"/>
      <c r="H275" s="350"/>
      <c r="I275" s="183"/>
      <c r="N275" s="10"/>
      <c r="O275" s="351"/>
      <c r="P275" s="351"/>
      <c r="Q275" s="314"/>
      <c r="R275" s="184"/>
      <c r="S275" s="352"/>
    </row>
    <row r="276" ht="22.5" customHeight="1">
      <c r="C276" s="181"/>
      <c r="E276" s="73"/>
      <c r="F276" s="28"/>
      <c r="G276" s="182"/>
      <c r="H276" s="350"/>
      <c r="I276" s="183"/>
      <c r="N276" s="10"/>
      <c r="O276" s="351"/>
      <c r="P276" s="351"/>
      <c r="Q276" s="314"/>
      <c r="R276" s="184"/>
      <c r="S276" s="352"/>
    </row>
    <row r="277" ht="22.5" customHeight="1">
      <c r="C277" s="181"/>
      <c r="E277" s="73"/>
      <c r="F277" s="28"/>
      <c r="G277" s="182"/>
      <c r="H277" s="350"/>
      <c r="I277" s="183"/>
      <c r="N277" s="10"/>
      <c r="O277" s="351"/>
      <c r="P277" s="351"/>
      <c r="Q277" s="314"/>
      <c r="R277" s="184"/>
      <c r="S277" s="352"/>
    </row>
    <row r="278" ht="22.5" customHeight="1">
      <c r="C278" s="181"/>
      <c r="E278" s="73"/>
      <c r="F278" s="28"/>
      <c r="G278" s="182"/>
      <c r="H278" s="350"/>
      <c r="I278" s="183"/>
      <c r="N278" s="10"/>
      <c r="O278" s="351"/>
      <c r="P278" s="351"/>
      <c r="Q278" s="314"/>
      <c r="R278" s="184"/>
      <c r="S278" s="352"/>
    </row>
    <row r="279" ht="22.5" customHeight="1">
      <c r="C279" s="181"/>
      <c r="E279" s="73"/>
      <c r="F279" s="28"/>
      <c r="G279" s="182"/>
      <c r="H279" s="350"/>
      <c r="I279" s="183"/>
      <c r="N279" s="10"/>
      <c r="O279" s="351"/>
      <c r="P279" s="351"/>
      <c r="Q279" s="314"/>
      <c r="R279" s="184"/>
      <c r="S279" s="352"/>
    </row>
    <row r="280" ht="22.5" customHeight="1">
      <c r="C280" s="181"/>
      <c r="E280" s="73"/>
      <c r="F280" s="28"/>
      <c r="G280" s="182"/>
      <c r="H280" s="350"/>
      <c r="I280" s="183"/>
      <c r="N280" s="10"/>
      <c r="O280" s="351"/>
      <c r="P280" s="351"/>
      <c r="Q280" s="314"/>
      <c r="R280" s="184"/>
      <c r="S280" s="352"/>
    </row>
    <row r="281" ht="22.5" customHeight="1">
      <c r="C281" s="181"/>
      <c r="E281" s="73"/>
      <c r="F281" s="28"/>
      <c r="G281" s="182"/>
      <c r="H281" s="350"/>
      <c r="I281" s="183"/>
      <c r="N281" s="10"/>
      <c r="O281" s="351"/>
      <c r="P281" s="351"/>
      <c r="Q281" s="314"/>
      <c r="R281" s="184"/>
      <c r="S281" s="352"/>
    </row>
    <row r="282" ht="22.5" customHeight="1">
      <c r="C282" s="181"/>
      <c r="E282" s="73"/>
      <c r="F282" s="28"/>
      <c r="G282" s="182"/>
      <c r="H282" s="350"/>
      <c r="I282" s="183"/>
      <c r="N282" s="10"/>
      <c r="O282" s="351"/>
      <c r="P282" s="351"/>
      <c r="Q282" s="314"/>
      <c r="R282" s="184"/>
      <c r="S282" s="352"/>
    </row>
    <row r="283" ht="22.5" customHeight="1">
      <c r="C283" s="181"/>
      <c r="E283" s="73"/>
      <c r="F283" s="28"/>
      <c r="G283" s="182"/>
      <c r="H283" s="350"/>
      <c r="I283" s="183"/>
      <c r="N283" s="10"/>
      <c r="O283" s="351"/>
      <c r="P283" s="351"/>
      <c r="Q283" s="314"/>
      <c r="R283" s="184"/>
      <c r="S283" s="352"/>
    </row>
    <row r="284" ht="22.5" customHeight="1">
      <c r="C284" s="181"/>
      <c r="E284" s="73"/>
      <c r="F284" s="28"/>
      <c r="G284" s="182"/>
      <c r="H284" s="350"/>
      <c r="I284" s="183"/>
      <c r="N284" s="10"/>
      <c r="O284" s="351"/>
      <c r="P284" s="351"/>
      <c r="Q284" s="314"/>
      <c r="R284" s="184"/>
      <c r="S284" s="352"/>
    </row>
    <row r="285" ht="22.5" customHeight="1">
      <c r="C285" s="181"/>
      <c r="E285" s="73"/>
      <c r="F285" s="28"/>
      <c r="G285" s="182"/>
      <c r="H285" s="350"/>
      <c r="I285" s="183"/>
      <c r="N285" s="10"/>
      <c r="O285" s="351"/>
      <c r="P285" s="351"/>
      <c r="Q285" s="314"/>
      <c r="R285" s="184"/>
      <c r="S285" s="352"/>
    </row>
    <row r="286" ht="22.5" customHeight="1">
      <c r="C286" s="181"/>
      <c r="E286" s="73"/>
      <c r="F286" s="28"/>
      <c r="G286" s="182"/>
      <c r="H286" s="350"/>
      <c r="I286" s="183"/>
      <c r="N286" s="10"/>
      <c r="O286" s="351"/>
      <c r="P286" s="351"/>
      <c r="Q286" s="314"/>
      <c r="R286" s="184"/>
      <c r="S286" s="352"/>
    </row>
    <row r="287" ht="22.5" customHeight="1">
      <c r="C287" s="181"/>
      <c r="E287" s="73"/>
      <c r="F287" s="28"/>
      <c r="G287" s="182"/>
      <c r="H287" s="350"/>
      <c r="I287" s="183"/>
      <c r="N287" s="10"/>
      <c r="O287" s="351"/>
      <c r="P287" s="351"/>
      <c r="Q287" s="314"/>
      <c r="R287" s="184"/>
      <c r="S287" s="352"/>
    </row>
    <row r="288" ht="22.5" customHeight="1">
      <c r="C288" s="181"/>
      <c r="E288" s="73"/>
      <c r="F288" s="28"/>
      <c r="G288" s="182"/>
      <c r="H288" s="350"/>
      <c r="I288" s="183"/>
      <c r="N288" s="10"/>
      <c r="O288" s="351"/>
      <c r="P288" s="351"/>
      <c r="Q288" s="314"/>
      <c r="R288" s="184"/>
      <c r="S288" s="352"/>
    </row>
    <row r="289" ht="22.5" customHeight="1">
      <c r="C289" s="181"/>
      <c r="E289" s="73"/>
      <c r="F289" s="28"/>
      <c r="G289" s="182"/>
      <c r="H289" s="350"/>
      <c r="I289" s="183"/>
      <c r="N289" s="10"/>
      <c r="O289" s="351"/>
      <c r="P289" s="351"/>
      <c r="Q289" s="314"/>
      <c r="R289" s="184"/>
      <c r="S289" s="352"/>
    </row>
    <row r="290" ht="22.5" customHeight="1">
      <c r="C290" s="181"/>
      <c r="E290" s="73"/>
      <c r="F290" s="28"/>
      <c r="G290" s="182"/>
      <c r="H290" s="350"/>
      <c r="I290" s="183"/>
      <c r="N290" s="10"/>
      <c r="O290" s="351"/>
      <c r="P290" s="351"/>
      <c r="Q290" s="314"/>
      <c r="R290" s="184"/>
      <c r="S290" s="352"/>
    </row>
    <row r="291" ht="22.5" customHeight="1">
      <c r="C291" s="181"/>
      <c r="E291" s="73"/>
      <c r="F291" s="28"/>
      <c r="G291" s="182"/>
      <c r="H291" s="350"/>
      <c r="I291" s="183"/>
      <c r="N291" s="10"/>
      <c r="O291" s="351"/>
      <c r="P291" s="351"/>
      <c r="Q291" s="314"/>
      <c r="R291" s="184"/>
      <c r="S291" s="352"/>
    </row>
    <row r="292" ht="22.5" customHeight="1">
      <c r="C292" s="181"/>
      <c r="E292" s="73"/>
      <c r="F292" s="28"/>
      <c r="G292" s="182"/>
      <c r="H292" s="350"/>
      <c r="I292" s="183"/>
      <c r="N292" s="10"/>
      <c r="O292" s="351"/>
      <c r="P292" s="351"/>
      <c r="Q292" s="314"/>
      <c r="R292" s="184"/>
      <c r="S292" s="352"/>
    </row>
    <row r="293" ht="22.5" customHeight="1">
      <c r="C293" s="181"/>
      <c r="E293" s="73"/>
      <c r="F293" s="28"/>
      <c r="G293" s="182"/>
      <c r="H293" s="350"/>
      <c r="I293" s="183"/>
      <c r="N293" s="10"/>
      <c r="O293" s="351"/>
      <c r="P293" s="351"/>
      <c r="Q293" s="314"/>
      <c r="R293" s="184"/>
      <c r="S293" s="352"/>
    </row>
    <row r="294" ht="22.5" customHeight="1">
      <c r="C294" s="181"/>
      <c r="E294" s="73"/>
      <c r="F294" s="28"/>
      <c r="G294" s="182"/>
      <c r="H294" s="350"/>
      <c r="I294" s="183"/>
      <c r="N294" s="10"/>
      <c r="O294" s="351"/>
      <c r="P294" s="351"/>
      <c r="Q294" s="314"/>
      <c r="R294" s="184"/>
      <c r="S294" s="352"/>
    </row>
    <row r="295" ht="22.5" customHeight="1">
      <c r="C295" s="181"/>
      <c r="E295" s="73"/>
      <c r="F295" s="28"/>
      <c r="G295" s="182"/>
      <c r="H295" s="350"/>
      <c r="I295" s="183"/>
      <c r="N295" s="10"/>
      <c r="O295" s="351"/>
      <c r="P295" s="351"/>
      <c r="Q295" s="314"/>
      <c r="R295" s="184"/>
      <c r="S295" s="352"/>
    </row>
    <row r="296" ht="22.5" customHeight="1">
      <c r="C296" s="181"/>
      <c r="E296" s="73"/>
      <c r="F296" s="28"/>
      <c r="G296" s="182"/>
      <c r="H296" s="350"/>
      <c r="I296" s="183"/>
      <c r="N296" s="10"/>
      <c r="O296" s="351"/>
      <c r="P296" s="351"/>
      <c r="Q296" s="314"/>
      <c r="R296" s="184"/>
      <c r="S296" s="352"/>
    </row>
    <row r="297" ht="22.5" customHeight="1">
      <c r="C297" s="181"/>
      <c r="E297" s="73"/>
      <c r="F297" s="28"/>
      <c r="G297" s="182"/>
      <c r="H297" s="350"/>
      <c r="I297" s="183"/>
      <c r="N297" s="10"/>
      <c r="O297" s="351"/>
      <c r="P297" s="351"/>
      <c r="Q297" s="314"/>
      <c r="R297" s="184"/>
      <c r="S297" s="352"/>
    </row>
    <row r="298" ht="22.5" customHeight="1">
      <c r="C298" s="181"/>
      <c r="E298" s="73"/>
      <c r="F298" s="28"/>
      <c r="G298" s="182"/>
      <c r="H298" s="350"/>
      <c r="I298" s="183"/>
      <c r="N298" s="10"/>
      <c r="O298" s="351"/>
      <c r="P298" s="351"/>
      <c r="Q298" s="314"/>
      <c r="R298" s="184"/>
      <c r="S298" s="352"/>
    </row>
    <row r="299" ht="22.5" customHeight="1">
      <c r="C299" s="181"/>
      <c r="E299" s="73"/>
      <c r="F299" s="28"/>
      <c r="G299" s="182"/>
      <c r="H299" s="350"/>
      <c r="I299" s="183"/>
      <c r="N299" s="10"/>
      <c r="O299" s="351"/>
      <c r="P299" s="351"/>
      <c r="Q299" s="314"/>
      <c r="R299" s="184"/>
      <c r="S299" s="352"/>
    </row>
    <row r="300" ht="22.5" customHeight="1">
      <c r="C300" s="181"/>
      <c r="E300" s="73"/>
      <c r="F300" s="28"/>
      <c r="G300" s="182"/>
      <c r="H300" s="350"/>
      <c r="I300" s="183"/>
      <c r="N300" s="10"/>
      <c r="O300" s="351"/>
      <c r="P300" s="351"/>
      <c r="Q300" s="314"/>
      <c r="R300" s="184"/>
      <c r="S300" s="352"/>
    </row>
    <row r="301" ht="22.5" customHeight="1">
      <c r="C301" s="181"/>
      <c r="E301" s="73"/>
      <c r="F301" s="28"/>
      <c r="G301" s="182"/>
      <c r="H301" s="350"/>
      <c r="I301" s="183"/>
      <c r="N301" s="10"/>
      <c r="O301" s="351"/>
      <c r="P301" s="351"/>
      <c r="Q301" s="314"/>
      <c r="R301" s="184"/>
      <c r="S301" s="352"/>
    </row>
    <row r="302" ht="22.5" customHeight="1">
      <c r="C302" s="181"/>
      <c r="E302" s="73"/>
      <c r="F302" s="28"/>
      <c r="G302" s="182"/>
      <c r="H302" s="350"/>
      <c r="I302" s="183"/>
      <c r="N302" s="10"/>
      <c r="O302" s="351"/>
      <c r="P302" s="351"/>
      <c r="Q302" s="314"/>
      <c r="R302" s="184"/>
      <c r="S302" s="352"/>
    </row>
    <row r="303" ht="22.5" customHeight="1">
      <c r="C303" s="181"/>
      <c r="E303" s="73"/>
      <c r="F303" s="28"/>
      <c r="G303" s="182"/>
      <c r="H303" s="350"/>
      <c r="I303" s="183"/>
      <c r="N303" s="10"/>
      <c r="O303" s="351"/>
      <c r="P303" s="351"/>
      <c r="Q303" s="314"/>
      <c r="R303" s="184"/>
      <c r="S303" s="352"/>
    </row>
    <row r="304" ht="22.5" customHeight="1">
      <c r="C304" s="181"/>
      <c r="E304" s="73"/>
      <c r="F304" s="28"/>
      <c r="G304" s="182"/>
      <c r="H304" s="350"/>
      <c r="I304" s="183"/>
      <c r="N304" s="10"/>
      <c r="O304" s="351"/>
      <c r="P304" s="351"/>
      <c r="Q304" s="314"/>
      <c r="R304" s="184"/>
      <c r="S304" s="352"/>
    </row>
    <row r="305" ht="22.5" customHeight="1">
      <c r="C305" s="181"/>
      <c r="E305" s="73"/>
      <c r="F305" s="28"/>
      <c r="G305" s="182"/>
      <c r="H305" s="350"/>
      <c r="I305" s="183"/>
      <c r="N305" s="10"/>
      <c r="O305" s="351"/>
      <c r="P305" s="351"/>
      <c r="Q305" s="314"/>
      <c r="R305" s="184"/>
      <c r="S305" s="352"/>
    </row>
    <row r="306" ht="22.5" customHeight="1">
      <c r="C306" s="181"/>
      <c r="E306" s="73"/>
      <c r="F306" s="28"/>
      <c r="G306" s="182"/>
      <c r="H306" s="350"/>
      <c r="I306" s="183"/>
      <c r="N306" s="10"/>
      <c r="O306" s="351"/>
      <c r="P306" s="351"/>
      <c r="Q306" s="314"/>
      <c r="R306" s="184"/>
      <c r="S306" s="352"/>
    </row>
    <row r="307" ht="22.5" customHeight="1">
      <c r="C307" s="181"/>
      <c r="E307" s="73"/>
      <c r="F307" s="28"/>
      <c r="G307" s="182"/>
      <c r="H307" s="350"/>
      <c r="I307" s="183"/>
      <c r="N307" s="10"/>
      <c r="O307" s="351"/>
      <c r="P307" s="351"/>
      <c r="Q307" s="314"/>
      <c r="R307" s="184"/>
      <c r="S307" s="352"/>
    </row>
    <row r="308" ht="22.5" customHeight="1">
      <c r="C308" s="181"/>
      <c r="E308" s="73"/>
      <c r="F308" s="28"/>
      <c r="G308" s="182"/>
      <c r="H308" s="350"/>
      <c r="I308" s="183"/>
      <c r="N308" s="10"/>
      <c r="O308" s="351"/>
      <c r="P308" s="351"/>
      <c r="Q308" s="314"/>
      <c r="R308" s="184"/>
      <c r="S308" s="352"/>
    </row>
    <row r="309" ht="22.5" customHeight="1">
      <c r="C309" s="181"/>
      <c r="E309" s="73"/>
      <c r="F309" s="28"/>
      <c r="G309" s="182"/>
      <c r="H309" s="350"/>
      <c r="I309" s="183"/>
      <c r="N309" s="10"/>
      <c r="O309" s="351"/>
      <c r="P309" s="351"/>
      <c r="Q309" s="314"/>
      <c r="R309" s="184"/>
      <c r="S309" s="352"/>
    </row>
    <row r="310" ht="22.5" customHeight="1">
      <c r="C310" s="181"/>
      <c r="E310" s="73"/>
      <c r="F310" s="28"/>
      <c r="G310" s="182"/>
      <c r="H310" s="350"/>
      <c r="I310" s="183"/>
      <c r="N310" s="10"/>
      <c r="O310" s="351"/>
      <c r="P310" s="351"/>
      <c r="Q310" s="314"/>
      <c r="R310" s="184"/>
      <c r="S310" s="352"/>
    </row>
    <row r="311" ht="22.5" customHeight="1">
      <c r="C311" s="181"/>
      <c r="E311" s="73"/>
      <c r="F311" s="28"/>
      <c r="G311" s="182"/>
      <c r="H311" s="350"/>
      <c r="I311" s="183"/>
      <c r="N311" s="10"/>
      <c r="O311" s="351"/>
      <c r="P311" s="351"/>
      <c r="Q311" s="314"/>
      <c r="R311" s="184"/>
      <c r="S311" s="352"/>
    </row>
    <row r="312" ht="22.5" customHeight="1">
      <c r="C312" s="181"/>
      <c r="E312" s="73"/>
      <c r="F312" s="28"/>
      <c r="G312" s="182"/>
      <c r="H312" s="350"/>
      <c r="I312" s="183"/>
      <c r="N312" s="10"/>
      <c r="O312" s="351"/>
      <c r="P312" s="351"/>
      <c r="Q312" s="314"/>
      <c r="R312" s="184"/>
      <c r="S312" s="352"/>
    </row>
    <row r="313" ht="22.5" customHeight="1">
      <c r="C313" s="181"/>
      <c r="E313" s="73"/>
      <c r="F313" s="28"/>
      <c r="G313" s="182"/>
      <c r="H313" s="350"/>
      <c r="I313" s="183"/>
      <c r="N313" s="10"/>
      <c r="O313" s="351"/>
      <c r="P313" s="351"/>
      <c r="Q313" s="314"/>
      <c r="R313" s="184"/>
      <c r="S313" s="352"/>
    </row>
    <row r="314" ht="22.5" customHeight="1">
      <c r="C314" s="181"/>
      <c r="E314" s="73"/>
      <c r="F314" s="28"/>
      <c r="G314" s="182"/>
      <c r="H314" s="350"/>
      <c r="I314" s="183"/>
      <c r="N314" s="10"/>
      <c r="O314" s="351"/>
      <c r="P314" s="351"/>
      <c r="Q314" s="314"/>
      <c r="R314" s="184"/>
      <c r="S314" s="352"/>
    </row>
    <row r="315" ht="22.5" customHeight="1">
      <c r="C315" s="181"/>
      <c r="E315" s="73"/>
      <c r="F315" s="28"/>
      <c r="G315" s="182"/>
      <c r="H315" s="350"/>
      <c r="I315" s="183"/>
      <c r="N315" s="10"/>
      <c r="O315" s="351"/>
      <c r="P315" s="351"/>
      <c r="Q315" s="314"/>
      <c r="R315" s="184"/>
      <c r="S315" s="352"/>
    </row>
    <row r="316" ht="22.5" customHeight="1">
      <c r="C316" s="181"/>
      <c r="E316" s="73"/>
      <c r="F316" s="28"/>
      <c r="G316" s="182"/>
      <c r="H316" s="350"/>
      <c r="I316" s="183"/>
      <c r="N316" s="10"/>
      <c r="O316" s="351"/>
      <c r="P316" s="351"/>
      <c r="Q316" s="314"/>
      <c r="R316" s="184"/>
      <c r="S316" s="352"/>
    </row>
    <row r="317" ht="22.5" customHeight="1">
      <c r="C317" s="181"/>
      <c r="E317" s="73"/>
      <c r="F317" s="28"/>
      <c r="G317" s="182"/>
      <c r="H317" s="350"/>
      <c r="I317" s="183"/>
      <c r="N317" s="10"/>
      <c r="O317" s="351"/>
      <c r="P317" s="351"/>
      <c r="Q317" s="314"/>
      <c r="R317" s="184"/>
      <c r="S317" s="352"/>
    </row>
    <row r="318" ht="22.5" customHeight="1">
      <c r="C318" s="181"/>
      <c r="E318" s="73"/>
      <c r="F318" s="28"/>
      <c r="G318" s="182"/>
      <c r="H318" s="350"/>
      <c r="I318" s="183"/>
      <c r="N318" s="10"/>
      <c r="O318" s="351"/>
      <c r="P318" s="351"/>
      <c r="Q318" s="314"/>
      <c r="R318" s="184"/>
      <c r="S318" s="352"/>
    </row>
    <row r="319" ht="22.5" customHeight="1">
      <c r="C319" s="181"/>
      <c r="E319" s="73"/>
      <c r="F319" s="28"/>
      <c r="G319" s="182"/>
      <c r="H319" s="350"/>
      <c r="I319" s="183"/>
      <c r="N319" s="10"/>
      <c r="O319" s="351"/>
      <c r="P319" s="351"/>
      <c r="Q319" s="314"/>
      <c r="R319" s="184"/>
      <c r="S319" s="352"/>
    </row>
    <row r="320" ht="22.5" customHeight="1">
      <c r="C320" s="181"/>
      <c r="E320" s="73"/>
      <c r="F320" s="28"/>
      <c r="G320" s="182"/>
      <c r="H320" s="350"/>
      <c r="I320" s="183"/>
      <c r="N320" s="10"/>
      <c r="O320" s="351"/>
      <c r="P320" s="351"/>
      <c r="Q320" s="314"/>
      <c r="R320" s="184"/>
      <c r="S320" s="352"/>
    </row>
    <row r="321" ht="22.5" customHeight="1">
      <c r="C321" s="181"/>
      <c r="E321" s="73"/>
      <c r="F321" s="28"/>
      <c r="G321" s="182"/>
      <c r="H321" s="350"/>
      <c r="I321" s="183"/>
      <c r="N321" s="10"/>
      <c r="O321" s="351"/>
      <c r="P321" s="351"/>
      <c r="Q321" s="314"/>
      <c r="R321" s="184"/>
      <c r="S321" s="352"/>
    </row>
    <row r="322" ht="22.5" customHeight="1">
      <c r="C322" s="181"/>
      <c r="E322" s="73"/>
      <c r="F322" s="28"/>
      <c r="G322" s="182"/>
      <c r="H322" s="350"/>
      <c r="I322" s="183"/>
      <c r="N322" s="10"/>
      <c r="O322" s="351"/>
      <c r="P322" s="351"/>
      <c r="Q322" s="314"/>
      <c r="R322" s="184"/>
      <c r="S322" s="352"/>
    </row>
    <row r="323" ht="22.5" customHeight="1">
      <c r="C323" s="181"/>
      <c r="E323" s="73"/>
      <c r="F323" s="28"/>
      <c r="G323" s="182"/>
      <c r="H323" s="350"/>
      <c r="I323" s="183"/>
      <c r="N323" s="10"/>
      <c r="O323" s="351"/>
      <c r="P323" s="351"/>
      <c r="Q323" s="314"/>
      <c r="R323" s="184"/>
      <c r="S323" s="352"/>
    </row>
    <row r="324" ht="22.5" customHeight="1">
      <c r="C324" s="181"/>
      <c r="E324" s="73"/>
      <c r="F324" s="28"/>
      <c r="G324" s="182"/>
      <c r="H324" s="350"/>
      <c r="I324" s="183"/>
      <c r="N324" s="10"/>
      <c r="O324" s="351"/>
      <c r="P324" s="351"/>
      <c r="Q324" s="314"/>
      <c r="R324" s="184"/>
      <c r="S324" s="352"/>
    </row>
    <row r="325" ht="22.5" customHeight="1">
      <c r="C325" s="181"/>
      <c r="E325" s="73"/>
      <c r="F325" s="28"/>
      <c r="G325" s="182"/>
      <c r="H325" s="350"/>
      <c r="I325" s="183"/>
      <c r="N325" s="10"/>
      <c r="O325" s="351"/>
      <c r="P325" s="351"/>
      <c r="Q325" s="314"/>
      <c r="R325" s="184"/>
      <c r="S325" s="352"/>
    </row>
    <row r="326" ht="22.5" customHeight="1">
      <c r="C326" s="181"/>
      <c r="E326" s="73"/>
      <c r="F326" s="28"/>
      <c r="G326" s="182"/>
      <c r="H326" s="350"/>
      <c r="I326" s="183"/>
      <c r="N326" s="10"/>
      <c r="O326" s="351"/>
      <c r="P326" s="351"/>
      <c r="Q326" s="314"/>
      <c r="R326" s="184"/>
      <c r="S326" s="352"/>
    </row>
    <row r="327" ht="22.5" customHeight="1">
      <c r="C327" s="181"/>
      <c r="E327" s="73"/>
      <c r="F327" s="28"/>
      <c r="G327" s="182"/>
      <c r="H327" s="350"/>
      <c r="I327" s="183"/>
      <c r="N327" s="10"/>
      <c r="O327" s="351"/>
      <c r="P327" s="351"/>
      <c r="Q327" s="314"/>
      <c r="R327" s="184"/>
      <c r="S327" s="352"/>
    </row>
    <row r="328" ht="22.5" customHeight="1">
      <c r="C328" s="181"/>
      <c r="E328" s="73"/>
      <c r="F328" s="28"/>
      <c r="G328" s="182"/>
      <c r="H328" s="350"/>
      <c r="I328" s="183"/>
      <c r="N328" s="10"/>
      <c r="O328" s="351"/>
      <c r="P328" s="351"/>
      <c r="Q328" s="314"/>
      <c r="R328" s="184"/>
      <c r="S328" s="352"/>
    </row>
    <row r="329" ht="22.5" customHeight="1">
      <c r="C329" s="181"/>
      <c r="E329" s="73"/>
      <c r="F329" s="28"/>
      <c r="G329" s="182"/>
      <c r="H329" s="350"/>
      <c r="I329" s="183"/>
      <c r="N329" s="10"/>
      <c r="O329" s="351"/>
      <c r="P329" s="351"/>
      <c r="Q329" s="314"/>
      <c r="R329" s="184"/>
      <c r="S329" s="352"/>
    </row>
    <row r="330" ht="22.5" customHeight="1">
      <c r="C330" s="181"/>
      <c r="E330" s="73"/>
      <c r="F330" s="28"/>
      <c r="G330" s="182"/>
      <c r="H330" s="350"/>
      <c r="I330" s="183"/>
      <c r="N330" s="10"/>
      <c r="O330" s="351"/>
      <c r="P330" s="351"/>
      <c r="Q330" s="314"/>
      <c r="R330" s="184"/>
      <c r="S330" s="352"/>
    </row>
    <row r="331" ht="22.5" customHeight="1">
      <c r="C331" s="181"/>
      <c r="E331" s="73"/>
      <c r="F331" s="28"/>
      <c r="G331" s="182"/>
      <c r="H331" s="350"/>
      <c r="I331" s="183"/>
      <c r="N331" s="10"/>
      <c r="O331" s="351"/>
      <c r="P331" s="351"/>
      <c r="Q331" s="314"/>
      <c r="R331" s="184"/>
      <c r="S331" s="352"/>
    </row>
    <row r="332" ht="22.5" customHeight="1">
      <c r="C332" s="181"/>
      <c r="E332" s="73"/>
      <c r="F332" s="28"/>
      <c r="G332" s="182"/>
      <c r="H332" s="350"/>
      <c r="I332" s="183"/>
      <c r="N332" s="10"/>
      <c r="O332" s="351"/>
      <c r="P332" s="351"/>
      <c r="Q332" s="314"/>
      <c r="R332" s="184"/>
      <c r="S332" s="352"/>
    </row>
    <row r="333" ht="22.5" customHeight="1">
      <c r="C333" s="181"/>
      <c r="E333" s="73"/>
      <c r="F333" s="28"/>
      <c r="G333" s="182"/>
      <c r="H333" s="350"/>
      <c r="I333" s="183"/>
      <c r="N333" s="10"/>
      <c r="O333" s="351"/>
      <c r="P333" s="351"/>
      <c r="Q333" s="314"/>
      <c r="R333" s="184"/>
      <c r="S333" s="352"/>
    </row>
    <row r="334" ht="22.5" customHeight="1">
      <c r="C334" s="181"/>
      <c r="E334" s="73"/>
      <c r="F334" s="28"/>
      <c r="G334" s="182"/>
      <c r="H334" s="350"/>
      <c r="I334" s="183"/>
      <c r="N334" s="10"/>
      <c r="O334" s="351"/>
      <c r="P334" s="351"/>
      <c r="Q334" s="314"/>
      <c r="R334" s="184"/>
      <c r="S334" s="352"/>
    </row>
    <row r="335" ht="22.5" customHeight="1">
      <c r="C335" s="181"/>
      <c r="E335" s="73"/>
      <c r="F335" s="28"/>
      <c r="G335" s="182"/>
      <c r="H335" s="350"/>
      <c r="I335" s="183"/>
      <c r="N335" s="10"/>
      <c r="O335" s="351"/>
      <c r="P335" s="351"/>
      <c r="Q335" s="314"/>
      <c r="R335" s="184"/>
      <c r="S335" s="352"/>
    </row>
    <row r="336" ht="22.5" customHeight="1">
      <c r="C336" s="181"/>
      <c r="E336" s="73"/>
      <c r="F336" s="28"/>
      <c r="G336" s="182"/>
      <c r="H336" s="350"/>
      <c r="I336" s="183"/>
      <c r="N336" s="10"/>
      <c r="O336" s="351"/>
      <c r="P336" s="351"/>
      <c r="Q336" s="314"/>
      <c r="R336" s="184"/>
      <c r="S336" s="352"/>
    </row>
    <row r="337" ht="22.5" customHeight="1">
      <c r="C337" s="181"/>
      <c r="E337" s="73"/>
      <c r="F337" s="28"/>
      <c r="G337" s="182"/>
      <c r="H337" s="350"/>
      <c r="I337" s="183"/>
      <c r="N337" s="10"/>
      <c r="O337" s="351"/>
      <c r="P337" s="351"/>
      <c r="Q337" s="314"/>
      <c r="R337" s="184"/>
      <c r="S337" s="352"/>
    </row>
    <row r="338" ht="22.5" customHeight="1">
      <c r="C338" s="181"/>
      <c r="E338" s="73"/>
      <c r="F338" s="28"/>
      <c r="G338" s="182"/>
      <c r="H338" s="350"/>
      <c r="I338" s="183"/>
      <c r="N338" s="10"/>
      <c r="O338" s="351"/>
      <c r="P338" s="351"/>
      <c r="Q338" s="314"/>
      <c r="R338" s="184"/>
      <c r="S338" s="352"/>
    </row>
    <row r="339" ht="22.5" customHeight="1">
      <c r="C339" s="181"/>
      <c r="E339" s="73"/>
      <c r="F339" s="28"/>
      <c r="G339" s="182"/>
      <c r="H339" s="350"/>
      <c r="I339" s="183"/>
      <c r="N339" s="10"/>
      <c r="O339" s="351"/>
      <c r="P339" s="351"/>
      <c r="Q339" s="314"/>
      <c r="R339" s="184"/>
      <c r="S339" s="352"/>
    </row>
    <row r="340" ht="22.5" customHeight="1">
      <c r="C340" s="181"/>
      <c r="E340" s="73"/>
      <c r="F340" s="28"/>
      <c r="G340" s="182"/>
      <c r="H340" s="350"/>
      <c r="I340" s="183"/>
      <c r="N340" s="10"/>
      <c r="O340" s="351"/>
      <c r="P340" s="351"/>
      <c r="Q340" s="314"/>
      <c r="R340" s="184"/>
      <c r="S340" s="352"/>
    </row>
    <row r="341" ht="22.5" customHeight="1">
      <c r="C341" s="181"/>
      <c r="E341" s="73"/>
      <c r="F341" s="28"/>
      <c r="G341" s="182"/>
      <c r="H341" s="350"/>
      <c r="I341" s="183"/>
      <c r="N341" s="10"/>
      <c r="O341" s="351"/>
      <c r="P341" s="351"/>
      <c r="Q341" s="314"/>
      <c r="R341" s="184"/>
      <c r="S341" s="352"/>
    </row>
    <row r="342" ht="22.5" customHeight="1">
      <c r="C342" s="181"/>
      <c r="E342" s="73"/>
      <c r="F342" s="28"/>
      <c r="G342" s="182"/>
      <c r="H342" s="350"/>
      <c r="I342" s="183"/>
      <c r="N342" s="10"/>
      <c r="O342" s="351"/>
      <c r="P342" s="351"/>
      <c r="Q342" s="314"/>
      <c r="R342" s="184"/>
      <c r="S342" s="352"/>
    </row>
    <row r="343" ht="22.5" customHeight="1">
      <c r="C343" s="181"/>
      <c r="E343" s="73"/>
      <c r="F343" s="28"/>
      <c r="G343" s="182"/>
      <c r="H343" s="350"/>
      <c r="I343" s="183"/>
      <c r="N343" s="10"/>
      <c r="O343" s="351"/>
      <c r="P343" s="351"/>
      <c r="Q343" s="314"/>
      <c r="R343" s="184"/>
      <c r="S343" s="352"/>
    </row>
    <row r="344" ht="22.5" customHeight="1">
      <c r="C344" s="181"/>
      <c r="E344" s="73"/>
      <c r="F344" s="28"/>
      <c r="G344" s="182"/>
      <c r="H344" s="350"/>
      <c r="I344" s="183"/>
      <c r="N344" s="10"/>
      <c r="O344" s="351"/>
      <c r="P344" s="351"/>
      <c r="Q344" s="314"/>
      <c r="R344" s="184"/>
      <c r="S344" s="352"/>
    </row>
    <row r="345" ht="22.5" customHeight="1">
      <c r="C345" s="181"/>
      <c r="E345" s="73"/>
      <c r="F345" s="28"/>
      <c r="G345" s="182"/>
      <c r="H345" s="350"/>
      <c r="I345" s="183"/>
      <c r="N345" s="10"/>
      <c r="O345" s="351"/>
      <c r="P345" s="351"/>
      <c r="Q345" s="314"/>
      <c r="R345" s="184"/>
      <c r="S345" s="352"/>
    </row>
    <row r="346" ht="22.5" customHeight="1">
      <c r="C346" s="181"/>
      <c r="E346" s="73"/>
      <c r="F346" s="28"/>
      <c r="G346" s="182"/>
      <c r="H346" s="350"/>
      <c r="I346" s="183"/>
      <c r="N346" s="10"/>
      <c r="O346" s="351"/>
      <c r="P346" s="351"/>
      <c r="Q346" s="314"/>
      <c r="R346" s="184"/>
      <c r="S346" s="352"/>
    </row>
    <row r="347" ht="22.5" customHeight="1">
      <c r="C347" s="181"/>
      <c r="E347" s="73"/>
      <c r="F347" s="28"/>
      <c r="G347" s="182"/>
      <c r="H347" s="350"/>
      <c r="I347" s="183"/>
      <c r="N347" s="10"/>
      <c r="O347" s="351"/>
      <c r="P347" s="351"/>
      <c r="Q347" s="314"/>
      <c r="R347" s="184"/>
      <c r="S347" s="352"/>
    </row>
    <row r="348" ht="22.5" customHeight="1">
      <c r="C348" s="181"/>
      <c r="E348" s="73"/>
      <c r="F348" s="28"/>
      <c r="G348" s="182"/>
      <c r="H348" s="350"/>
      <c r="I348" s="183"/>
      <c r="N348" s="10"/>
      <c r="O348" s="351"/>
      <c r="P348" s="351"/>
      <c r="Q348" s="314"/>
      <c r="R348" s="184"/>
      <c r="S348" s="352"/>
    </row>
    <row r="349" ht="22.5" customHeight="1">
      <c r="C349" s="181"/>
      <c r="E349" s="73"/>
      <c r="F349" s="28"/>
      <c r="G349" s="182"/>
      <c r="H349" s="350"/>
      <c r="I349" s="183"/>
      <c r="N349" s="10"/>
      <c r="O349" s="351"/>
      <c r="P349" s="351"/>
      <c r="Q349" s="314"/>
      <c r="R349" s="184"/>
      <c r="S349" s="352"/>
    </row>
    <row r="350" ht="22.5" customHeight="1">
      <c r="C350" s="181"/>
      <c r="E350" s="73"/>
      <c r="F350" s="28"/>
      <c r="G350" s="182"/>
      <c r="H350" s="350"/>
      <c r="I350" s="183"/>
      <c r="N350" s="10"/>
      <c r="O350" s="351"/>
      <c r="P350" s="351"/>
      <c r="Q350" s="314"/>
      <c r="R350" s="184"/>
      <c r="S350" s="352"/>
    </row>
    <row r="351" ht="22.5" customHeight="1">
      <c r="C351" s="181"/>
      <c r="E351" s="73"/>
      <c r="F351" s="28"/>
      <c r="G351" s="182"/>
      <c r="H351" s="350"/>
      <c r="I351" s="183"/>
      <c r="N351" s="10"/>
      <c r="O351" s="351"/>
      <c r="P351" s="351"/>
      <c r="Q351" s="314"/>
      <c r="R351" s="184"/>
      <c r="S351" s="352"/>
    </row>
    <row r="352" ht="22.5" customHeight="1">
      <c r="C352" s="181"/>
      <c r="E352" s="73"/>
      <c r="F352" s="28"/>
      <c r="G352" s="182"/>
      <c r="H352" s="350"/>
      <c r="I352" s="183"/>
      <c r="N352" s="10"/>
      <c r="O352" s="351"/>
      <c r="P352" s="351"/>
      <c r="Q352" s="314"/>
      <c r="R352" s="184"/>
      <c r="S352" s="352"/>
    </row>
    <row r="353" ht="22.5" customHeight="1">
      <c r="C353" s="181"/>
      <c r="E353" s="73"/>
      <c r="F353" s="28"/>
      <c r="G353" s="182"/>
      <c r="H353" s="350"/>
      <c r="I353" s="183"/>
      <c r="N353" s="10"/>
      <c r="O353" s="351"/>
      <c r="P353" s="351"/>
      <c r="Q353" s="314"/>
      <c r="R353" s="184"/>
      <c r="S353" s="352"/>
    </row>
    <row r="354" ht="22.5" customHeight="1">
      <c r="C354" s="181"/>
      <c r="E354" s="73"/>
      <c r="F354" s="28"/>
      <c r="G354" s="182"/>
      <c r="H354" s="350"/>
      <c r="I354" s="183"/>
      <c r="N354" s="10"/>
      <c r="O354" s="351"/>
      <c r="P354" s="351"/>
      <c r="Q354" s="314"/>
      <c r="R354" s="184"/>
      <c r="S354" s="352"/>
    </row>
    <row r="355" ht="22.5" customHeight="1">
      <c r="C355" s="181"/>
      <c r="E355" s="73"/>
      <c r="F355" s="28"/>
      <c r="G355" s="182"/>
      <c r="H355" s="350"/>
      <c r="I355" s="183"/>
      <c r="N355" s="10"/>
      <c r="O355" s="351"/>
      <c r="P355" s="351"/>
      <c r="Q355" s="314"/>
      <c r="R355" s="184"/>
      <c r="S355" s="352"/>
    </row>
    <row r="356" ht="22.5" customHeight="1">
      <c r="C356" s="181"/>
      <c r="E356" s="73"/>
      <c r="F356" s="28"/>
      <c r="G356" s="182"/>
      <c r="H356" s="350"/>
      <c r="I356" s="183"/>
      <c r="N356" s="10"/>
      <c r="O356" s="351"/>
      <c r="P356" s="351"/>
      <c r="Q356" s="314"/>
      <c r="R356" s="184"/>
      <c r="S356" s="352"/>
    </row>
    <row r="357" ht="22.5" customHeight="1">
      <c r="C357" s="181"/>
      <c r="E357" s="73"/>
      <c r="F357" s="28"/>
      <c r="G357" s="182"/>
      <c r="H357" s="350"/>
      <c r="I357" s="183"/>
      <c r="N357" s="10"/>
      <c r="O357" s="351"/>
      <c r="P357" s="351"/>
      <c r="Q357" s="314"/>
      <c r="R357" s="184"/>
      <c r="S357" s="352"/>
    </row>
    <row r="358" ht="22.5" customHeight="1">
      <c r="C358" s="181"/>
      <c r="E358" s="73"/>
      <c r="F358" s="28"/>
      <c r="G358" s="182"/>
      <c r="H358" s="350"/>
      <c r="I358" s="183"/>
      <c r="N358" s="10"/>
      <c r="O358" s="351"/>
      <c r="P358" s="351"/>
      <c r="Q358" s="314"/>
      <c r="R358" s="184"/>
      <c r="S358" s="352"/>
    </row>
    <row r="359" ht="22.5" customHeight="1">
      <c r="C359" s="181"/>
      <c r="E359" s="73"/>
      <c r="F359" s="28"/>
      <c r="G359" s="182"/>
      <c r="H359" s="350"/>
      <c r="I359" s="183"/>
      <c r="N359" s="10"/>
      <c r="O359" s="351"/>
      <c r="P359" s="351"/>
      <c r="Q359" s="314"/>
      <c r="R359" s="184"/>
      <c r="S359" s="352"/>
    </row>
    <row r="360" ht="22.5" customHeight="1">
      <c r="C360" s="181"/>
      <c r="E360" s="73"/>
      <c r="F360" s="28"/>
      <c r="G360" s="182"/>
      <c r="H360" s="350"/>
      <c r="I360" s="183"/>
      <c r="N360" s="10"/>
      <c r="O360" s="351"/>
      <c r="P360" s="351"/>
      <c r="Q360" s="314"/>
      <c r="R360" s="184"/>
      <c r="S360" s="352"/>
    </row>
    <row r="361" ht="22.5" customHeight="1">
      <c r="C361" s="181"/>
      <c r="E361" s="73"/>
      <c r="F361" s="28"/>
      <c r="G361" s="182"/>
      <c r="H361" s="350"/>
      <c r="I361" s="183"/>
      <c r="N361" s="10"/>
      <c r="O361" s="351"/>
      <c r="P361" s="351"/>
      <c r="Q361" s="314"/>
      <c r="R361" s="184"/>
      <c r="S361" s="352"/>
    </row>
    <row r="362" ht="22.5" customHeight="1">
      <c r="C362" s="181"/>
      <c r="E362" s="73"/>
      <c r="F362" s="28"/>
      <c r="G362" s="182"/>
      <c r="H362" s="350"/>
      <c r="I362" s="183"/>
      <c r="N362" s="10"/>
      <c r="O362" s="351"/>
      <c r="P362" s="351"/>
      <c r="Q362" s="314"/>
      <c r="R362" s="184"/>
      <c r="S362" s="352"/>
    </row>
    <row r="363" ht="22.5" customHeight="1">
      <c r="C363" s="181"/>
      <c r="E363" s="73"/>
      <c r="F363" s="28"/>
      <c r="G363" s="182"/>
      <c r="H363" s="350"/>
      <c r="I363" s="183"/>
      <c r="N363" s="10"/>
      <c r="O363" s="351"/>
      <c r="P363" s="351"/>
      <c r="Q363" s="314"/>
      <c r="R363" s="184"/>
      <c r="S363" s="352"/>
    </row>
    <row r="364" ht="22.5" customHeight="1">
      <c r="C364" s="181"/>
      <c r="E364" s="73"/>
      <c r="F364" s="28"/>
      <c r="G364" s="182"/>
      <c r="H364" s="350"/>
      <c r="I364" s="183"/>
      <c r="N364" s="10"/>
      <c r="O364" s="351"/>
      <c r="P364" s="351"/>
      <c r="Q364" s="314"/>
      <c r="R364" s="184"/>
      <c r="S364" s="352"/>
    </row>
    <row r="365" ht="22.5" customHeight="1">
      <c r="C365" s="181"/>
      <c r="E365" s="73"/>
      <c r="F365" s="28"/>
      <c r="G365" s="182"/>
      <c r="H365" s="350"/>
      <c r="I365" s="183"/>
      <c r="N365" s="10"/>
      <c r="O365" s="351"/>
      <c r="P365" s="351"/>
      <c r="Q365" s="314"/>
      <c r="R365" s="184"/>
      <c r="S365" s="352"/>
    </row>
    <row r="366" ht="22.5" customHeight="1">
      <c r="C366" s="181"/>
      <c r="E366" s="73"/>
      <c r="F366" s="28"/>
      <c r="G366" s="182"/>
      <c r="H366" s="350"/>
      <c r="I366" s="183"/>
      <c r="N366" s="10"/>
      <c r="O366" s="351"/>
      <c r="P366" s="351"/>
      <c r="Q366" s="314"/>
      <c r="R366" s="184"/>
      <c r="S366" s="352"/>
    </row>
    <row r="367" ht="22.5" customHeight="1">
      <c r="C367" s="181"/>
      <c r="E367" s="73"/>
      <c r="F367" s="28"/>
      <c r="G367" s="182"/>
      <c r="H367" s="350"/>
      <c r="I367" s="183"/>
      <c r="N367" s="10"/>
      <c r="O367" s="351"/>
      <c r="P367" s="351"/>
      <c r="Q367" s="314"/>
      <c r="R367" s="184"/>
      <c r="S367" s="352"/>
    </row>
    <row r="368" ht="22.5" customHeight="1">
      <c r="C368" s="181"/>
      <c r="E368" s="73"/>
      <c r="F368" s="28"/>
      <c r="G368" s="182"/>
      <c r="H368" s="350"/>
      <c r="I368" s="183"/>
      <c r="N368" s="10"/>
      <c r="O368" s="351"/>
      <c r="P368" s="351"/>
      <c r="Q368" s="314"/>
      <c r="R368" s="184"/>
      <c r="S368" s="352"/>
    </row>
    <row r="369" ht="22.5" customHeight="1">
      <c r="C369" s="181"/>
      <c r="E369" s="73"/>
      <c r="F369" s="28"/>
      <c r="G369" s="182"/>
      <c r="H369" s="350"/>
      <c r="I369" s="183"/>
      <c r="N369" s="10"/>
      <c r="O369" s="351"/>
      <c r="P369" s="351"/>
      <c r="Q369" s="314"/>
      <c r="R369" s="184"/>
      <c r="S369" s="352"/>
    </row>
    <row r="370" ht="22.5" customHeight="1">
      <c r="C370" s="181"/>
      <c r="E370" s="73"/>
      <c r="F370" s="28"/>
      <c r="G370" s="182"/>
      <c r="H370" s="350"/>
      <c r="I370" s="183"/>
      <c r="N370" s="10"/>
      <c r="O370" s="351"/>
      <c r="P370" s="351"/>
      <c r="Q370" s="314"/>
      <c r="R370" s="184"/>
      <c r="S370" s="352"/>
    </row>
    <row r="371" ht="22.5" customHeight="1">
      <c r="C371" s="181"/>
      <c r="E371" s="73"/>
      <c r="F371" s="28"/>
      <c r="G371" s="182"/>
      <c r="H371" s="350"/>
      <c r="I371" s="183"/>
      <c r="N371" s="10"/>
      <c r="O371" s="351"/>
      <c r="P371" s="351"/>
      <c r="Q371" s="314"/>
      <c r="R371" s="184"/>
      <c r="S371" s="352"/>
    </row>
    <row r="372" ht="22.5" customHeight="1">
      <c r="C372" s="181"/>
      <c r="E372" s="73"/>
      <c r="F372" s="28"/>
      <c r="G372" s="182"/>
      <c r="H372" s="350"/>
      <c r="I372" s="183"/>
      <c r="N372" s="10"/>
      <c r="O372" s="351"/>
      <c r="P372" s="351"/>
      <c r="Q372" s="314"/>
      <c r="R372" s="184"/>
      <c r="S372" s="352"/>
    </row>
    <row r="373" ht="22.5" customHeight="1">
      <c r="C373" s="181"/>
      <c r="E373" s="73"/>
      <c r="F373" s="28"/>
      <c r="G373" s="182"/>
      <c r="H373" s="350"/>
      <c r="I373" s="183"/>
      <c r="N373" s="10"/>
      <c r="O373" s="351"/>
      <c r="P373" s="351"/>
      <c r="Q373" s="314"/>
      <c r="R373" s="184"/>
      <c r="S373" s="352"/>
    </row>
    <row r="374" ht="22.5" customHeight="1">
      <c r="C374" s="181"/>
      <c r="E374" s="73"/>
      <c r="F374" s="28"/>
      <c r="G374" s="182"/>
      <c r="H374" s="350"/>
      <c r="I374" s="183"/>
      <c r="N374" s="10"/>
      <c r="O374" s="351"/>
      <c r="P374" s="351"/>
      <c r="Q374" s="314"/>
      <c r="R374" s="184"/>
      <c r="S374" s="352"/>
    </row>
    <row r="375" ht="22.5" customHeight="1">
      <c r="C375" s="181"/>
      <c r="E375" s="73"/>
      <c r="F375" s="28"/>
      <c r="G375" s="182"/>
      <c r="H375" s="350"/>
      <c r="I375" s="183"/>
      <c r="N375" s="10"/>
      <c r="O375" s="351"/>
      <c r="P375" s="351"/>
      <c r="Q375" s="314"/>
      <c r="R375" s="184"/>
      <c r="S375" s="352"/>
    </row>
    <row r="376" ht="22.5" customHeight="1">
      <c r="C376" s="181"/>
      <c r="E376" s="73"/>
      <c r="F376" s="28"/>
      <c r="G376" s="182"/>
      <c r="H376" s="350"/>
      <c r="I376" s="183"/>
      <c r="N376" s="10"/>
      <c r="O376" s="351"/>
      <c r="P376" s="351"/>
      <c r="Q376" s="314"/>
      <c r="R376" s="184"/>
      <c r="S376" s="352"/>
    </row>
    <row r="377" ht="22.5" customHeight="1">
      <c r="C377" s="181"/>
      <c r="E377" s="73"/>
      <c r="F377" s="28"/>
      <c r="G377" s="182"/>
      <c r="H377" s="350"/>
      <c r="I377" s="183"/>
      <c r="N377" s="10"/>
      <c r="O377" s="351"/>
      <c r="P377" s="351"/>
      <c r="Q377" s="314"/>
      <c r="R377" s="184"/>
      <c r="S377" s="352"/>
    </row>
    <row r="378" ht="22.5" customHeight="1">
      <c r="C378" s="181"/>
      <c r="E378" s="73"/>
      <c r="F378" s="28"/>
      <c r="G378" s="182"/>
      <c r="H378" s="350"/>
      <c r="I378" s="183"/>
      <c r="N378" s="10"/>
      <c r="O378" s="351"/>
      <c r="P378" s="351"/>
      <c r="Q378" s="314"/>
      <c r="R378" s="184"/>
      <c r="S378" s="352"/>
    </row>
    <row r="379" ht="22.5" customHeight="1">
      <c r="C379" s="181"/>
      <c r="E379" s="73"/>
      <c r="F379" s="28"/>
      <c r="G379" s="182"/>
      <c r="H379" s="350"/>
      <c r="I379" s="183"/>
      <c r="N379" s="10"/>
      <c r="O379" s="351"/>
      <c r="P379" s="351"/>
      <c r="Q379" s="314"/>
      <c r="R379" s="184"/>
      <c r="S379" s="352"/>
    </row>
    <row r="380" ht="22.5" customHeight="1">
      <c r="C380" s="181"/>
      <c r="E380" s="73"/>
      <c r="F380" s="28"/>
      <c r="G380" s="182"/>
      <c r="H380" s="350"/>
      <c r="I380" s="183"/>
      <c r="N380" s="10"/>
      <c r="O380" s="351"/>
      <c r="P380" s="351"/>
      <c r="Q380" s="314"/>
      <c r="R380" s="184"/>
      <c r="S380" s="352"/>
    </row>
    <row r="381" ht="22.5" customHeight="1">
      <c r="C381" s="181"/>
      <c r="E381" s="73"/>
      <c r="F381" s="28"/>
      <c r="G381" s="182"/>
      <c r="H381" s="350"/>
      <c r="I381" s="183"/>
      <c r="N381" s="10"/>
      <c r="O381" s="351"/>
      <c r="P381" s="351"/>
      <c r="Q381" s="314"/>
      <c r="R381" s="184"/>
      <c r="S381" s="352"/>
    </row>
    <row r="382" ht="22.5" customHeight="1">
      <c r="C382" s="181"/>
      <c r="E382" s="73"/>
      <c r="F382" s="28"/>
      <c r="G382" s="182"/>
      <c r="H382" s="350"/>
      <c r="I382" s="183"/>
      <c r="N382" s="10"/>
      <c r="O382" s="351"/>
      <c r="P382" s="351"/>
      <c r="Q382" s="314"/>
      <c r="R382" s="184"/>
      <c r="S382" s="352"/>
    </row>
    <row r="383" ht="22.5" customHeight="1">
      <c r="C383" s="181"/>
      <c r="E383" s="73"/>
      <c r="F383" s="28"/>
      <c r="G383" s="182"/>
      <c r="H383" s="350"/>
      <c r="I383" s="183"/>
      <c r="N383" s="10"/>
      <c r="O383" s="351"/>
      <c r="P383" s="351"/>
      <c r="Q383" s="314"/>
      <c r="R383" s="184"/>
      <c r="S383" s="352"/>
    </row>
    <row r="384" ht="22.5" customHeight="1">
      <c r="C384" s="181"/>
      <c r="E384" s="73"/>
      <c r="F384" s="28"/>
      <c r="G384" s="182"/>
      <c r="H384" s="350"/>
      <c r="I384" s="183"/>
      <c r="N384" s="10"/>
      <c r="O384" s="351"/>
      <c r="P384" s="351"/>
      <c r="Q384" s="314"/>
      <c r="R384" s="184"/>
      <c r="S384" s="352"/>
    </row>
    <row r="385" ht="22.5" customHeight="1">
      <c r="C385" s="181"/>
      <c r="E385" s="73"/>
      <c r="F385" s="28"/>
      <c r="G385" s="182"/>
      <c r="H385" s="350"/>
      <c r="I385" s="183"/>
      <c r="N385" s="10"/>
      <c r="O385" s="351"/>
      <c r="P385" s="351"/>
      <c r="Q385" s="314"/>
      <c r="R385" s="184"/>
      <c r="S385" s="352"/>
    </row>
    <row r="386" ht="22.5" customHeight="1">
      <c r="C386" s="181"/>
      <c r="E386" s="73"/>
      <c r="F386" s="28"/>
      <c r="G386" s="182"/>
      <c r="H386" s="350"/>
      <c r="I386" s="183"/>
      <c r="N386" s="10"/>
      <c r="O386" s="351"/>
      <c r="P386" s="351"/>
      <c r="Q386" s="314"/>
      <c r="R386" s="184"/>
      <c r="S386" s="352"/>
    </row>
    <row r="387" ht="22.5" customHeight="1">
      <c r="C387" s="181"/>
      <c r="E387" s="73"/>
      <c r="F387" s="28"/>
      <c r="G387" s="182"/>
      <c r="H387" s="350"/>
      <c r="I387" s="183"/>
      <c r="N387" s="10"/>
      <c r="O387" s="351"/>
      <c r="P387" s="351"/>
      <c r="Q387" s="314"/>
      <c r="R387" s="184"/>
      <c r="S387" s="352"/>
    </row>
    <row r="388" ht="22.5" customHeight="1">
      <c r="C388" s="181"/>
      <c r="E388" s="73"/>
      <c r="F388" s="28"/>
      <c r="G388" s="182"/>
      <c r="H388" s="350"/>
      <c r="I388" s="183"/>
      <c r="N388" s="10"/>
      <c r="O388" s="351"/>
      <c r="P388" s="351"/>
      <c r="Q388" s="314"/>
      <c r="R388" s="184"/>
      <c r="S388" s="352"/>
    </row>
    <row r="389" ht="22.5" customHeight="1">
      <c r="C389" s="181"/>
      <c r="E389" s="73"/>
      <c r="F389" s="28"/>
      <c r="G389" s="182"/>
      <c r="H389" s="350"/>
      <c r="I389" s="183"/>
      <c r="N389" s="10"/>
      <c r="O389" s="351"/>
      <c r="P389" s="351"/>
      <c r="Q389" s="314"/>
      <c r="R389" s="184"/>
      <c r="S389" s="352"/>
    </row>
    <row r="390" ht="22.5" customHeight="1">
      <c r="C390" s="181"/>
      <c r="E390" s="73"/>
      <c r="F390" s="28"/>
      <c r="G390" s="182"/>
      <c r="H390" s="350"/>
      <c r="I390" s="183"/>
      <c r="N390" s="10"/>
      <c r="O390" s="351"/>
      <c r="P390" s="351"/>
      <c r="Q390" s="314"/>
      <c r="R390" s="184"/>
      <c r="S390" s="352"/>
    </row>
    <row r="391" ht="22.5" customHeight="1">
      <c r="C391" s="181"/>
      <c r="E391" s="73"/>
      <c r="F391" s="28"/>
      <c r="G391" s="182"/>
      <c r="H391" s="350"/>
      <c r="I391" s="183"/>
      <c r="N391" s="10"/>
      <c r="O391" s="351"/>
      <c r="P391" s="351"/>
      <c r="Q391" s="314"/>
      <c r="R391" s="184"/>
      <c r="S391" s="352"/>
    </row>
    <row r="392" ht="22.5" customHeight="1">
      <c r="C392" s="181"/>
      <c r="E392" s="73"/>
      <c r="F392" s="28"/>
      <c r="G392" s="182"/>
      <c r="H392" s="350"/>
      <c r="I392" s="183"/>
      <c r="N392" s="10"/>
      <c r="O392" s="351"/>
      <c r="P392" s="351"/>
      <c r="Q392" s="314"/>
      <c r="R392" s="184"/>
      <c r="S392" s="352"/>
    </row>
    <row r="393" ht="22.5" customHeight="1">
      <c r="C393" s="181"/>
      <c r="E393" s="73"/>
      <c r="F393" s="28"/>
      <c r="G393" s="182"/>
      <c r="H393" s="350"/>
      <c r="I393" s="183"/>
      <c r="N393" s="10"/>
      <c r="O393" s="351"/>
      <c r="P393" s="351"/>
      <c r="Q393" s="314"/>
      <c r="R393" s="184"/>
      <c r="S393" s="352"/>
    </row>
    <row r="394" ht="22.5" customHeight="1">
      <c r="C394" s="181"/>
      <c r="E394" s="73"/>
      <c r="F394" s="28"/>
      <c r="G394" s="182"/>
      <c r="H394" s="350"/>
      <c r="I394" s="183"/>
      <c r="N394" s="10"/>
      <c r="O394" s="351"/>
      <c r="P394" s="351"/>
      <c r="Q394" s="314"/>
      <c r="R394" s="184"/>
      <c r="S394" s="352"/>
    </row>
    <row r="395" ht="22.5" customHeight="1">
      <c r="C395" s="181"/>
      <c r="E395" s="73"/>
      <c r="F395" s="28"/>
      <c r="G395" s="182"/>
      <c r="H395" s="350"/>
      <c r="I395" s="183"/>
      <c r="N395" s="10"/>
      <c r="O395" s="351"/>
      <c r="P395" s="351"/>
      <c r="Q395" s="314"/>
      <c r="R395" s="184"/>
      <c r="S395" s="352"/>
    </row>
    <row r="396" ht="22.5" customHeight="1">
      <c r="C396" s="181"/>
      <c r="E396" s="73"/>
      <c r="F396" s="28"/>
      <c r="G396" s="182"/>
      <c r="H396" s="350"/>
      <c r="I396" s="183"/>
      <c r="N396" s="10"/>
      <c r="O396" s="351"/>
      <c r="P396" s="351"/>
      <c r="Q396" s="314"/>
      <c r="R396" s="184"/>
      <c r="S396" s="352"/>
    </row>
    <row r="397" ht="22.5" customHeight="1">
      <c r="C397" s="181"/>
      <c r="E397" s="73"/>
      <c r="F397" s="28"/>
      <c r="G397" s="182"/>
      <c r="H397" s="350"/>
      <c r="I397" s="183"/>
      <c r="N397" s="10"/>
      <c r="O397" s="351"/>
      <c r="P397" s="351"/>
      <c r="Q397" s="314"/>
      <c r="R397" s="184"/>
      <c r="S397" s="352"/>
    </row>
    <row r="398" ht="22.5" customHeight="1">
      <c r="C398" s="181"/>
      <c r="E398" s="73"/>
      <c r="F398" s="28"/>
      <c r="G398" s="182"/>
      <c r="H398" s="350"/>
      <c r="I398" s="183"/>
      <c r="N398" s="10"/>
      <c r="O398" s="351"/>
      <c r="P398" s="351"/>
      <c r="Q398" s="314"/>
      <c r="R398" s="184"/>
      <c r="S398" s="352"/>
    </row>
    <row r="399" ht="22.5" customHeight="1">
      <c r="C399" s="181"/>
      <c r="E399" s="73"/>
      <c r="F399" s="28"/>
      <c r="G399" s="182"/>
      <c r="H399" s="350"/>
      <c r="I399" s="183"/>
      <c r="N399" s="10"/>
      <c r="O399" s="351"/>
      <c r="P399" s="351"/>
      <c r="Q399" s="314"/>
      <c r="R399" s="184"/>
      <c r="S399" s="352"/>
    </row>
    <row r="400" ht="22.5" customHeight="1">
      <c r="C400" s="181"/>
      <c r="E400" s="73"/>
      <c r="F400" s="28"/>
      <c r="G400" s="182"/>
      <c r="H400" s="350"/>
      <c r="I400" s="183"/>
      <c r="N400" s="10"/>
      <c r="O400" s="351"/>
      <c r="P400" s="351"/>
      <c r="Q400" s="314"/>
      <c r="R400" s="184"/>
      <c r="S400" s="352"/>
    </row>
    <row r="401" ht="22.5" customHeight="1">
      <c r="C401" s="181"/>
      <c r="E401" s="73"/>
      <c r="F401" s="28"/>
      <c r="G401" s="182"/>
      <c r="H401" s="350"/>
      <c r="I401" s="183"/>
      <c r="N401" s="10"/>
      <c r="O401" s="351"/>
      <c r="P401" s="351"/>
      <c r="Q401" s="314"/>
      <c r="R401" s="184"/>
      <c r="S401" s="352"/>
    </row>
    <row r="402" ht="22.5" customHeight="1">
      <c r="C402" s="181"/>
      <c r="E402" s="73"/>
      <c r="F402" s="28"/>
      <c r="G402" s="182"/>
      <c r="H402" s="350"/>
      <c r="I402" s="183"/>
      <c r="N402" s="10"/>
      <c r="O402" s="351"/>
      <c r="P402" s="351"/>
      <c r="Q402" s="314"/>
      <c r="R402" s="184"/>
      <c r="S402" s="352"/>
    </row>
    <row r="403" ht="22.5" customHeight="1">
      <c r="C403" s="181"/>
      <c r="E403" s="73"/>
      <c r="F403" s="28"/>
      <c r="G403" s="182"/>
      <c r="H403" s="350"/>
      <c r="I403" s="183"/>
      <c r="N403" s="10"/>
      <c r="O403" s="351"/>
      <c r="P403" s="351"/>
      <c r="Q403" s="314"/>
      <c r="R403" s="184"/>
      <c r="S403" s="352"/>
    </row>
    <row r="404" ht="22.5" customHeight="1">
      <c r="C404" s="181"/>
      <c r="E404" s="73"/>
      <c r="F404" s="28"/>
      <c r="G404" s="182"/>
      <c r="H404" s="350"/>
      <c r="I404" s="183"/>
      <c r="N404" s="10"/>
      <c r="O404" s="351"/>
      <c r="P404" s="351"/>
      <c r="Q404" s="314"/>
      <c r="R404" s="184"/>
      <c r="S404" s="352"/>
    </row>
    <row r="405" ht="22.5" customHeight="1">
      <c r="C405" s="181"/>
      <c r="E405" s="73"/>
      <c r="F405" s="28"/>
      <c r="G405" s="182"/>
      <c r="H405" s="350"/>
      <c r="I405" s="183"/>
      <c r="N405" s="10"/>
      <c r="O405" s="351"/>
      <c r="P405" s="351"/>
      <c r="Q405" s="314"/>
      <c r="R405" s="184"/>
      <c r="S405" s="352"/>
    </row>
    <row r="406" ht="22.5" customHeight="1">
      <c r="C406" s="181"/>
      <c r="E406" s="73"/>
      <c r="F406" s="28"/>
      <c r="G406" s="182"/>
      <c r="H406" s="350"/>
      <c r="I406" s="183"/>
      <c r="N406" s="10"/>
      <c r="O406" s="351"/>
      <c r="P406" s="351"/>
      <c r="Q406" s="314"/>
      <c r="R406" s="184"/>
      <c r="S406" s="352"/>
    </row>
    <row r="407" ht="22.5" customHeight="1">
      <c r="C407" s="181"/>
      <c r="E407" s="73"/>
      <c r="F407" s="28"/>
      <c r="G407" s="182"/>
      <c r="H407" s="350"/>
      <c r="I407" s="183"/>
      <c r="N407" s="10"/>
      <c r="O407" s="351"/>
      <c r="P407" s="351"/>
      <c r="Q407" s="314"/>
      <c r="R407" s="184"/>
      <c r="S407" s="352"/>
    </row>
    <row r="408" ht="22.5" customHeight="1">
      <c r="C408" s="181"/>
      <c r="E408" s="73"/>
      <c r="F408" s="28"/>
      <c r="G408" s="182"/>
      <c r="H408" s="350"/>
      <c r="I408" s="183"/>
      <c r="N408" s="10"/>
      <c r="O408" s="351"/>
      <c r="P408" s="351"/>
      <c r="Q408" s="314"/>
      <c r="R408" s="184"/>
      <c r="S408" s="352"/>
    </row>
    <row r="409" ht="22.5" customHeight="1">
      <c r="C409" s="181"/>
      <c r="E409" s="73"/>
      <c r="F409" s="28"/>
      <c r="G409" s="182"/>
      <c r="H409" s="350"/>
      <c r="I409" s="183"/>
      <c r="N409" s="10"/>
      <c r="O409" s="351"/>
      <c r="P409" s="351"/>
      <c r="Q409" s="314"/>
      <c r="R409" s="184"/>
      <c r="S409" s="352"/>
    </row>
    <row r="410" ht="22.5" customHeight="1">
      <c r="C410" s="181"/>
      <c r="E410" s="73"/>
      <c r="F410" s="28"/>
      <c r="G410" s="182"/>
      <c r="H410" s="350"/>
      <c r="I410" s="183"/>
      <c r="N410" s="10"/>
      <c r="O410" s="351"/>
      <c r="P410" s="351"/>
      <c r="Q410" s="314"/>
      <c r="R410" s="184"/>
      <c r="S410" s="352"/>
    </row>
    <row r="411" ht="22.5" customHeight="1">
      <c r="C411" s="181"/>
      <c r="E411" s="73"/>
      <c r="F411" s="28"/>
      <c r="G411" s="182"/>
      <c r="H411" s="350"/>
      <c r="I411" s="183"/>
      <c r="N411" s="10"/>
      <c r="O411" s="351"/>
      <c r="P411" s="351"/>
      <c r="Q411" s="314"/>
      <c r="R411" s="184"/>
      <c r="S411" s="352"/>
    </row>
    <row r="412" ht="22.5" customHeight="1">
      <c r="C412" s="181"/>
      <c r="E412" s="73"/>
      <c r="F412" s="28"/>
      <c r="G412" s="182"/>
      <c r="H412" s="350"/>
      <c r="I412" s="183"/>
      <c r="N412" s="10"/>
      <c r="O412" s="351"/>
      <c r="P412" s="351"/>
      <c r="Q412" s="314"/>
      <c r="R412" s="184"/>
      <c r="S412" s="352"/>
    </row>
    <row r="413" ht="22.5" customHeight="1">
      <c r="C413" s="181"/>
      <c r="E413" s="73"/>
      <c r="F413" s="28"/>
      <c r="G413" s="182"/>
      <c r="H413" s="350"/>
      <c r="I413" s="183"/>
      <c r="N413" s="10"/>
      <c r="O413" s="351"/>
      <c r="P413" s="351"/>
      <c r="Q413" s="314"/>
      <c r="R413" s="184"/>
      <c r="S413" s="352"/>
    </row>
    <row r="414" ht="22.5" customHeight="1">
      <c r="C414" s="181"/>
      <c r="E414" s="73"/>
      <c r="F414" s="28"/>
      <c r="G414" s="182"/>
      <c r="H414" s="350"/>
      <c r="I414" s="183"/>
      <c r="N414" s="10"/>
      <c r="O414" s="351"/>
      <c r="P414" s="351"/>
      <c r="Q414" s="314"/>
      <c r="R414" s="184"/>
      <c r="S414" s="352"/>
    </row>
    <row r="415" ht="22.5" customHeight="1">
      <c r="C415" s="181"/>
      <c r="E415" s="73"/>
      <c r="F415" s="28"/>
      <c r="G415" s="182"/>
      <c r="H415" s="350"/>
      <c r="I415" s="183"/>
      <c r="N415" s="10"/>
      <c r="O415" s="351"/>
      <c r="P415" s="351"/>
      <c r="Q415" s="314"/>
      <c r="R415" s="184"/>
      <c r="S415" s="352"/>
    </row>
    <row r="416" ht="22.5" customHeight="1">
      <c r="C416" s="181"/>
      <c r="E416" s="73"/>
      <c r="F416" s="28"/>
      <c r="G416" s="182"/>
      <c r="H416" s="350"/>
      <c r="I416" s="183"/>
      <c r="N416" s="10"/>
      <c r="O416" s="351"/>
      <c r="P416" s="351"/>
      <c r="Q416" s="314"/>
      <c r="R416" s="184"/>
      <c r="S416" s="352"/>
    </row>
    <row r="417" ht="22.5" customHeight="1">
      <c r="C417" s="181"/>
      <c r="E417" s="73"/>
      <c r="F417" s="28"/>
      <c r="G417" s="182"/>
      <c r="H417" s="350"/>
      <c r="I417" s="183"/>
      <c r="N417" s="10"/>
      <c r="O417" s="351"/>
      <c r="P417" s="351"/>
      <c r="Q417" s="314"/>
      <c r="R417" s="184"/>
      <c r="S417" s="352"/>
    </row>
    <row r="418" ht="22.5" customHeight="1">
      <c r="C418" s="181"/>
      <c r="E418" s="73"/>
      <c r="F418" s="28"/>
      <c r="G418" s="182"/>
      <c r="H418" s="350"/>
      <c r="I418" s="183"/>
      <c r="N418" s="10"/>
      <c r="O418" s="351"/>
      <c r="P418" s="351"/>
      <c r="Q418" s="314"/>
      <c r="R418" s="184"/>
      <c r="S418" s="352"/>
    </row>
    <row r="419" ht="22.5" customHeight="1">
      <c r="C419" s="181"/>
      <c r="E419" s="73"/>
      <c r="F419" s="28"/>
      <c r="G419" s="182"/>
      <c r="H419" s="350"/>
      <c r="I419" s="183"/>
      <c r="N419" s="10"/>
      <c r="O419" s="351"/>
      <c r="P419" s="351"/>
      <c r="Q419" s="314"/>
      <c r="R419" s="184"/>
      <c r="S419" s="352"/>
    </row>
    <row r="420" ht="22.5" customHeight="1">
      <c r="C420" s="181"/>
      <c r="E420" s="73"/>
      <c r="F420" s="28"/>
      <c r="G420" s="182"/>
      <c r="H420" s="350"/>
      <c r="I420" s="183"/>
      <c r="N420" s="10"/>
      <c r="O420" s="351"/>
      <c r="P420" s="351"/>
      <c r="Q420" s="314"/>
      <c r="R420" s="184"/>
      <c r="S420" s="352"/>
    </row>
    <row r="421" ht="22.5" customHeight="1">
      <c r="C421" s="181"/>
      <c r="E421" s="73"/>
      <c r="F421" s="28"/>
      <c r="G421" s="182"/>
      <c r="H421" s="350"/>
      <c r="I421" s="183"/>
      <c r="N421" s="10"/>
      <c r="O421" s="351"/>
      <c r="P421" s="351"/>
      <c r="Q421" s="314"/>
      <c r="R421" s="184"/>
      <c r="S421" s="352"/>
    </row>
    <row r="422" ht="22.5" customHeight="1">
      <c r="C422" s="181"/>
      <c r="E422" s="73"/>
      <c r="F422" s="28"/>
      <c r="G422" s="182"/>
      <c r="H422" s="350"/>
      <c r="I422" s="183"/>
      <c r="N422" s="10"/>
      <c r="O422" s="351"/>
      <c r="P422" s="351"/>
      <c r="Q422" s="314"/>
      <c r="R422" s="184"/>
      <c r="S422" s="352"/>
    </row>
    <row r="423" ht="22.5" customHeight="1">
      <c r="C423" s="181"/>
      <c r="E423" s="73"/>
      <c r="F423" s="28"/>
      <c r="G423" s="182"/>
      <c r="H423" s="350"/>
      <c r="I423" s="183"/>
      <c r="N423" s="10"/>
      <c r="O423" s="351"/>
      <c r="P423" s="351"/>
      <c r="Q423" s="314"/>
      <c r="R423" s="184"/>
      <c r="S423" s="352"/>
    </row>
    <row r="424" ht="22.5" customHeight="1">
      <c r="C424" s="181"/>
      <c r="E424" s="73"/>
      <c r="F424" s="28"/>
      <c r="G424" s="182"/>
      <c r="H424" s="350"/>
      <c r="I424" s="183"/>
      <c r="N424" s="10"/>
      <c r="O424" s="351"/>
      <c r="P424" s="351"/>
      <c r="Q424" s="314"/>
      <c r="R424" s="184"/>
      <c r="S424" s="352"/>
    </row>
    <row r="425" ht="22.5" customHeight="1">
      <c r="C425" s="181"/>
      <c r="E425" s="73"/>
      <c r="F425" s="28"/>
      <c r="G425" s="182"/>
      <c r="H425" s="350"/>
      <c r="I425" s="183"/>
      <c r="N425" s="10"/>
      <c r="O425" s="351"/>
      <c r="P425" s="351"/>
      <c r="Q425" s="314"/>
      <c r="R425" s="184"/>
      <c r="S425" s="352"/>
    </row>
    <row r="426" ht="22.5" customHeight="1">
      <c r="C426" s="181"/>
      <c r="E426" s="73"/>
      <c r="F426" s="28"/>
      <c r="G426" s="182"/>
      <c r="H426" s="350"/>
      <c r="I426" s="183"/>
      <c r="N426" s="10"/>
      <c r="O426" s="351"/>
      <c r="P426" s="351"/>
      <c r="Q426" s="314"/>
      <c r="R426" s="184"/>
      <c r="S426" s="352"/>
    </row>
    <row r="427" ht="22.5" customHeight="1">
      <c r="C427" s="181"/>
      <c r="E427" s="73"/>
      <c r="F427" s="28"/>
      <c r="G427" s="182"/>
      <c r="H427" s="350"/>
      <c r="I427" s="183"/>
      <c r="N427" s="10"/>
      <c r="O427" s="351"/>
      <c r="P427" s="351"/>
      <c r="Q427" s="314"/>
      <c r="R427" s="184"/>
      <c r="S427" s="352"/>
    </row>
    <row r="428" ht="22.5" customHeight="1">
      <c r="C428" s="181"/>
      <c r="E428" s="73"/>
      <c r="F428" s="28"/>
      <c r="G428" s="182"/>
      <c r="H428" s="350"/>
      <c r="I428" s="183"/>
      <c r="N428" s="10"/>
      <c r="O428" s="351"/>
      <c r="P428" s="351"/>
      <c r="Q428" s="314"/>
      <c r="R428" s="184"/>
      <c r="S428" s="352"/>
    </row>
    <row r="429" ht="22.5" customHeight="1">
      <c r="C429" s="181"/>
      <c r="E429" s="73"/>
      <c r="F429" s="28"/>
      <c r="G429" s="182"/>
      <c r="H429" s="350"/>
      <c r="I429" s="183"/>
      <c r="N429" s="10"/>
      <c r="O429" s="351"/>
      <c r="P429" s="351"/>
      <c r="Q429" s="314"/>
      <c r="R429" s="184"/>
      <c r="S429" s="352"/>
    </row>
    <row r="430" ht="22.5" customHeight="1">
      <c r="C430" s="181"/>
      <c r="E430" s="73"/>
      <c r="F430" s="28"/>
      <c r="G430" s="182"/>
      <c r="H430" s="350"/>
      <c r="I430" s="183"/>
      <c r="N430" s="10"/>
      <c r="O430" s="351"/>
      <c r="P430" s="351"/>
      <c r="Q430" s="314"/>
      <c r="R430" s="184"/>
      <c r="S430" s="352"/>
    </row>
    <row r="431" ht="22.5" customHeight="1">
      <c r="C431" s="181"/>
      <c r="E431" s="73"/>
      <c r="F431" s="28"/>
      <c r="G431" s="182"/>
      <c r="H431" s="350"/>
      <c r="I431" s="183"/>
      <c r="N431" s="10"/>
      <c r="O431" s="351"/>
      <c r="P431" s="351"/>
      <c r="Q431" s="314"/>
      <c r="R431" s="184"/>
      <c r="S431" s="352"/>
    </row>
    <row r="432" ht="22.5" customHeight="1">
      <c r="C432" s="181"/>
      <c r="E432" s="73"/>
      <c r="F432" s="28"/>
      <c r="G432" s="182"/>
      <c r="H432" s="350"/>
      <c r="I432" s="183"/>
      <c r="N432" s="10"/>
      <c r="O432" s="351"/>
      <c r="P432" s="351"/>
      <c r="Q432" s="314"/>
      <c r="R432" s="184"/>
      <c r="S432" s="352"/>
    </row>
    <row r="433" ht="22.5" customHeight="1">
      <c r="C433" s="181"/>
      <c r="E433" s="73"/>
      <c r="F433" s="28"/>
      <c r="G433" s="182"/>
      <c r="H433" s="350"/>
      <c r="I433" s="183"/>
      <c r="N433" s="10"/>
      <c r="O433" s="351"/>
      <c r="P433" s="351"/>
      <c r="Q433" s="314"/>
      <c r="R433" s="184"/>
      <c r="S433" s="352"/>
    </row>
    <row r="434" ht="22.5" customHeight="1">
      <c r="C434" s="181"/>
      <c r="E434" s="73"/>
      <c r="F434" s="28"/>
      <c r="G434" s="182"/>
      <c r="H434" s="350"/>
      <c r="I434" s="183"/>
      <c r="N434" s="10"/>
      <c r="O434" s="351"/>
      <c r="P434" s="351"/>
      <c r="Q434" s="314"/>
      <c r="R434" s="184"/>
      <c r="S434" s="352"/>
    </row>
    <row r="435" ht="22.5" customHeight="1">
      <c r="C435" s="181"/>
      <c r="E435" s="73"/>
      <c r="F435" s="28"/>
      <c r="G435" s="182"/>
      <c r="H435" s="350"/>
      <c r="I435" s="183"/>
      <c r="N435" s="10"/>
      <c r="O435" s="351"/>
      <c r="P435" s="351"/>
      <c r="Q435" s="314"/>
      <c r="R435" s="184"/>
      <c r="S435" s="352"/>
    </row>
    <row r="436" ht="22.5" customHeight="1">
      <c r="C436" s="181"/>
      <c r="E436" s="73"/>
      <c r="F436" s="28"/>
      <c r="G436" s="182"/>
      <c r="H436" s="350"/>
      <c r="I436" s="183"/>
      <c r="N436" s="10"/>
      <c r="O436" s="351"/>
      <c r="P436" s="351"/>
      <c r="Q436" s="314"/>
      <c r="R436" s="184"/>
      <c r="S436" s="352"/>
    </row>
    <row r="437" ht="22.5" customHeight="1">
      <c r="C437" s="181"/>
      <c r="E437" s="73"/>
      <c r="F437" s="28"/>
      <c r="G437" s="182"/>
      <c r="H437" s="350"/>
      <c r="I437" s="183"/>
      <c r="N437" s="10"/>
      <c r="O437" s="351"/>
      <c r="P437" s="351"/>
      <c r="Q437" s="314"/>
      <c r="R437" s="184"/>
      <c r="S437" s="352"/>
    </row>
    <row r="438" ht="22.5" customHeight="1">
      <c r="C438" s="181"/>
      <c r="E438" s="73"/>
      <c r="F438" s="28"/>
      <c r="G438" s="182"/>
      <c r="H438" s="350"/>
      <c r="I438" s="183"/>
      <c r="N438" s="10"/>
      <c r="O438" s="351"/>
      <c r="P438" s="351"/>
      <c r="Q438" s="314"/>
      <c r="R438" s="184"/>
      <c r="S438" s="352"/>
    </row>
    <row r="439" ht="22.5" customHeight="1">
      <c r="C439" s="181"/>
      <c r="E439" s="73"/>
      <c r="F439" s="28"/>
      <c r="G439" s="182"/>
      <c r="H439" s="350"/>
      <c r="I439" s="183"/>
      <c r="N439" s="10"/>
      <c r="O439" s="351"/>
      <c r="P439" s="351"/>
      <c r="Q439" s="314"/>
      <c r="R439" s="184"/>
      <c r="S439" s="352"/>
    </row>
    <row r="440" ht="22.5" customHeight="1">
      <c r="C440" s="181"/>
      <c r="E440" s="73"/>
      <c r="F440" s="28"/>
      <c r="G440" s="182"/>
      <c r="H440" s="350"/>
      <c r="I440" s="183"/>
      <c r="N440" s="10"/>
      <c r="O440" s="351"/>
      <c r="P440" s="351"/>
      <c r="Q440" s="314"/>
      <c r="R440" s="184"/>
      <c r="S440" s="352"/>
    </row>
    <row r="441" ht="22.5" customHeight="1">
      <c r="C441" s="181"/>
      <c r="E441" s="73"/>
      <c r="F441" s="28"/>
      <c r="G441" s="182"/>
      <c r="H441" s="350"/>
      <c r="I441" s="183"/>
      <c r="N441" s="10"/>
      <c r="O441" s="351"/>
      <c r="P441" s="351"/>
      <c r="Q441" s="314"/>
      <c r="R441" s="184"/>
      <c r="S441" s="352"/>
    </row>
    <row r="442" ht="22.5" customHeight="1">
      <c r="C442" s="181"/>
      <c r="E442" s="73"/>
      <c r="F442" s="28"/>
      <c r="G442" s="182"/>
      <c r="H442" s="350"/>
      <c r="I442" s="183"/>
      <c r="N442" s="10"/>
      <c r="O442" s="351"/>
      <c r="P442" s="351"/>
      <c r="Q442" s="314"/>
      <c r="R442" s="184"/>
      <c r="S442" s="352"/>
    </row>
    <row r="443" ht="22.5" customHeight="1">
      <c r="C443" s="181"/>
      <c r="E443" s="73"/>
      <c r="F443" s="28"/>
      <c r="G443" s="182"/>
      <c r="H443" s="350"/>
      <c r="I443" s="183"/>
      <c r="N443" s="10"/>
      <c r="O443" s="351"/>
      <c r="P443" s="351"/>
      <c r="Q443" s="314"/>
      <c r="R443" s="184"/>
      <c r="S443" s="352"/>
    </row>
    <row r="444" ht="22.5" customHeight="1">
      <c r="C444" s="181"/>
      <c r="E444" s="73"/>
      <c r="F444" s="28"/>
      <c r="G444" s="182"/>
      <c r="H444" s="350"/>
      <c r="I444" s="183"/>
      <c r="N444" s="10"/>
      <c r="O444" s="351"/>
      <c r="P444" s="351"/>
      <c r="Q444" s="314"/>
      <c r="R444" s="184"/>
      <c r="S444" s="352"/>
    </row>
    <row r="445" ht="22.5" customHeight="1">
      <c r="C445" s="181"/>
      <c r="E445" s="73"/>
      <c r="F445" s="28"/>
      <c r="G445" s="182"/>
      <c r="H445" s="350"/>
      <c r="I445" s="183"/>
      <c r="N445" s="10"/>
      <c r="O445" s="351"/>
      <c r="P445" s="351"/>
      <c r="Q445" s="314"/>
      <c r="R445" s="184"/>
      <c r="S445" s="352"/>
    </row>
    <row r="446" ht="22.5" customHeight="1">
      <c r="C446" s="181"/>
      <c r="E446" s="73"/>
      <c r="F446" s="28"/>
      <c r="G446" s="182"/>
      <c r="H446" s="350"/>
      <c r="I446" s="183"/>
      <c r="N446" s="10"/>
      <c r="O446" s="351"/>
      <c r="P446" s="351"/>
      <c r="Q446" s="314"/>
      <c r="R446" s="184"/>
      <c r="S446" s="352"/>
    </row>
    <row r="447" ht="22.5" customHeight="1">
      <c r="C447" s="181"/>
      <c r="E447" s="73"/>
      <c r="F447" s="28"/>
      <c r="G447" s="182"/>
      <c r="H447" s="350"/>
      <c r="I447" s="183"/>
      <c r="N447" s="10"/>
      <c r="O447" s="351"/>
      <c r="P447" s="351"/>
      <c r="Q447" s="314"/>
      <c r="R447" s="184"/>
      <c r="S447" s="352"/>
    </row>
    <row r="448" ht="22.5" customHeight="1">
      <c r="C448" s="181"/>
      <c r="E448" s="73"/>
      <c r="F448" s="28"/>
      <c r="G448" s="182"/>
      <c r="H448" s="350"/>
      <c r="I448" s="183"/>
      <c r="N448" s="10"/>
      <c r="O448" s="351"/>
      <c r="P448" s="351"/>
      <c r="Q448" s="314"/>
      <c r="R448" s="184"/>
      <c r="S448" s="352"/>
    </row>
    <row r="449" ht="22.5" customHeight="1">
      <c r="C449" s="181"/>
      <c r="E449" s="73"/>
      <c r="F449" s="28"/>
      <c r="G449" s="182"/>
      <c r="H449" s="350"/>
      <c r="I449" s="183"/>
      <c r="N449" s="10"/>
      <c r="O449" s="351"/>
      <c r="P449" s="351"/>
      <c r="Q449" s="314"/>
      <c r="R449" s="184"/>
      <c r="S449" s="352"/>
    </row>
    <row r="450" ht="22.5" customHeight="1">
      <c r="C450" s="181"/>
      <c r="E450" s="73"/>
      <c r="F450" s="28"/>
      <c r="G450" s="182"/>
      <c r="H450" s="350"/>
      <c r="I450" s="183"/>
      <c r="N450" s="10"/>
      <c r="O450" s="351"/>
      <c r="P450" s="351"/>
      <c r="Q450" s="314"/>
      <c r="R450" s="184"/>
      <c r="S450" s="352"/>
    </row>
    <row r="451" ht="22.5" customHeight="1">
      <c r="C451" s="181"/>
      <c r="E451" s="73"/>
      <c r="F451" s="28"/>
      <c r="G451" s="182"/>
      <c r="H451" s="350"/>
      <c r="I451" s="183"/>
      <c r="N451" s="10"/>
      <c r="O451" s="351"/>
      <c r="P451" s="351"/>
      <c r="Q451" s="314"/>
      <c r="R451" s="184"/>
      <c r="S451" s="352"/>
    </row>
    <row r="452" ht="22.5" customHeight="1">
      <c r="C452" s="181"/>
      <c r="E452" s="73"/>
      <c r="F452" s="28"/>
      <c r="G452" s="182"/>
      <c r="H452" s="350"/>
      <c r="I452" s="183"/>
      <c r="N452" s="10"/>
      <c r="O452" s="351"/>
      <c r="P452" s="351"/>
      <c r="Q452" s="314"/>
      <c r="R452" s="184"/>
      <c r="S452" s="352"/>
    </row>
    <row r="453" ht="22.5" customHeight="1">
      <c r="C453" s="181"/>
      <c r="E453" s="73"/>
      <c r="F453" s="28"/>
      <c r="G453" s="182"/>
      <c r="H453" s="350"/>
      <c r="I453" s="183"/>
      <c r="N453" s="10"/>
      <c r="O453" s="351"/>
      <c r="P453" s="351"/>
      <c r="Q453" s="314"/>
      <c r="R453" s="184"/>
      <c r="S453" s="352"/>
    </row>
    <row r="454" ht="22.5" customHeight="1">
      <c r="C454" s="181"/>
      <c r="E454" s="73"/>
      <c r="F454" s="28"/>
      <c r="G454" s="182"/>
      <c r="H454" s="350"/>
      <c r="I454" s="183"/>
      <c r="N454" s="10"/>
      <c r="O454" s="351"/>
      <c r="P454" s="351"/>
      <c r="Q454" s="314"/>
      <c r="R454" s="184"/>
      <c r="S454" s="352"/>
    </row>
    <row r="455" ht="22.5" customHeight="1">
      <c r="C455" s="181"/>
      <c r="E455" s="73"/>
      <c r="F455" s="28"/>
      <c r="G455" s="182"/>
      <c r="H455" s="350"/>
      <c r="I455" s="183"/>
      <c r="N455" s="10"/>
      <c r="O455" s="351"/>
      <c r="P455" s="351"/>
      <c r="Q455" s="314"/>
      <c r="R455" s="184"/>
      <c r="S455" s="352"/>
    </row>
    <row r="456" ht="22.5" customHeight="1">
      <c r="C456" s="181"/>
      <c r="E456" s="73"/>
      <c r="F456" s="28"/>
      <c r="G456" s="182"/>
      <c r="H456" s="350"/>
      <c r="I456" s="183"/>
      <c r="N456" s="10"/>
      <c r="O456" s="351"/>
      <c r="P456" s="351"/>
      <c r="Q456" s="314"/>
      <c r="R456" s="184"/>
      <c r="S456" s="352"/>
    </row>
    <row r="457" ht="22.5" customHeight="1">
      <c r="C457" s="181"/>
      <c r="E457" s="73"/>
      <c r="F457" s="28"/>
      <c r="G457" s="182"/>
      <c r="H457" s="350"/>
      <c r="I457" s="183"/>
      <c r="N457" s="10"/>
      <c r="O457" s="351"/>
      <c r="P457" s="351"/>
      <c r="Q457" s="314"/>
      <c r="R457" s="184"/>
      <c r="S457" s="352"/>
    </row>
    <row r="458" ht="22.5" customHeight="1">
      <c r="C458" s="181"/>
      <c r="E458" s="73"/>
      <c r="F458" s="28"/>
      <c r="G458" s="182"/>
      <c r="H458" s="350"/>
      <c r="I458" s="183"/>
      <c r="N458" s="10"/>
      <c r="O458" s="351"/>
      <c r="P458" s="351"/>
      <c r="Q458" s="314"/>
      <c r="R458" s="184"/>
      <c r="S458" s="352"/>
    </row>
    <row r="459" ht="22.5" customHeight="1">
      <c r="C459" s="181"/>
      <c r="E459" s="73"/>
      <c r="F459" s="28"/>
      <c r="G459" s="182"/>
      <c r="H459" s="350"/>
      <c r="I459" s="183"/>
      <c r="N459" s="10"/>
      <c r="O459" s="351"/>
      <c r="P459" s="351"/>
      <c r="Q459" s="314"/>
      <c r="R459" s="184"/>
      <c r="S459" s="352"/>
    </row>
    <row r="460" ht="22.5" customHeight="1">
      <c r="C460" s="181"/>
      <c r="E460" s="73"/>
      <c r="F460" s="28"/>
      <c r="G460" s="182"/>
      <c r="H460" s="350"/>
      <c r="I460" s="183"/>
      <c r="N460" s="10"/>
      <c r="O460" s="351"/>
      <c r="P460" s="351"/>
      <c r="Q460" s="314"/>
      <c r="R460" s="184"/>
      <c r="S460" s="352"/>
    </row>
    <row r="461" ht="22.5" customHeight="1">
      <c r="C461" s="181"/>
      <c r="E461" s="73"/>
      <c r="F461" s="28"/>
      <c r="G461" s="182"/>
      <c r="H461" s="350"/>
      <c r="I461" s="183"/>
      <c r="N461" s="10"/>
      <c r="O461" s="351"/>
      <c r="P461" s="351"/>
      <c r="Q461" s="314"/>
      <c r="R461" s="184"/>
      <c r="S461" s="352"/>
    </row>
    <row r="462" ht="22.5" customHeight="1">
      <c r="C462" s="181"/>
      <c r="E462" s="73"/>
      <c r="F462" s="28"/>
      <c r="G462" s="182"/>
      <c r="H462" s="350"/>
      <c r="I462" s="183"/>
      <c r="N462" s="10"/>
      <c r="O462" s="351"/>
      <c r="P462" s="351"/>
      <c r="Q462" s="314"/>
      <c r="R462" s="184"/>
      <c r="S462" s="352"/>
    </row>
    <row r="463" ht="22.5" customHeight="1">
      <c r="C463" s="181"/>
      <c r="E463" s="73"/>
      <c r="F463" s="28"/>
      <c r="G463" s="182"/>
      <c r="H463" s="350"/>
      <c r="I463" s="183"/>
      <c r="N463" s="10"/>
      <c r="O463" s="351"/>
      <c r="P463" s="351"/>
      <c r="Q463" s="314"/>
      <c r="R463" s="184"/>
      <c r="S463" s="352"/>
    </row>
    <row r="464" ht="22.5" customHeight="1">
      <c r="C464" s="181"/>
      <c r="E464" s="73"/>
      <c r="F464" s="28"/>
      <c r="G464" s="182"/>
      <c r="H464" s="350"/>
      <c r="I464" s="183"/>
      <c r="N464" s="10"/>
      <c r="O464" s="351"/>
      <c r="P464" s="351"/>
      <c r="Q464" s="314"/>
      <c r="R464" s="184"/>
      <c r="S464" s="352"/>
    </row>
    <row r="465" ht="22.5" customHeight="1">
      <c r="C465" s="181"/>
      <c r="E465" s="73"/>
      <c r="F465" s="28"/>
      <c r="G465" s="182"/>
      <c r="H465" s="350"/>
      <c r="I465" s="183"/>
      <c r="N465" s="10"/>
      <c r="O465" s="351"/>
      <c r="P465" s="351"/>
      <c r="Q465" s="314"/>
      <c r="R465" s="184"/>
      <c r="S465" s="352"/>
    </row>
    <row r="466" ht="22.5" customHeight="1">
      <c r="C466" s="181"/>
      <c r="E466" s="73"/>
      <c r="F466" s="28"/>
      <c r="G466" s="182"/>
      <c r="H466" s="350"/>
      <c r="I466" s="183"/>
      <c r="N466" s="10"/>
      <c r="O466" s="351"/>
      <c r="P466" s="351"/>
      <c r="Q466" s="314"/>
      <c r="R466" s="184"/>
      <c r="S466" s="352"/>
    </row>
    <row r="467" ht="22.5" customHeight="1">
      <c r="C467" s="181"/>
      <c r="E467" s="73"/>
      <c r="F467" s="28"/>
      <c r="G467" s="182"/>
      <c r="H467" s="350"/>
      <c r="I467" s="183"/>
      <c r="N467" s="10"/>
      <c r="O467" s="351"/>
      <c r="P467" s="351"/>
      <c r="Q467" s="314"/>
      <c r="R467" s="184"/>
      <c r="S467" s="352"/>
    </row>
    <row r="468" ht="22.5" customHeight="1">
      <c r="C468" s="181"/>
      <c r="E468" s="73"/>
      <c r="F468" s="28"/>
      <c r="G468" s="182"/>
      <c r="H468" s="350"/>
      <c r="I468" s="183"/>
      <c r="N468" s="10"/>
      <c r="O468" s="351"/>
      <c r="P468" s="351"/>
      <c r="Q468" s="314"/>
      <c r="R468" s="184"/>
      <c r="S468" s="352"/>
    </row>
    <row r="469" ht="22.5" customHeight="1">
      <c r="C469" s="181"/>
      <c r="E469" s="73"/>
      <c r="F469" s="28"/>
      <c r="G469" s="182"/>
      <c r="H469" s="350"/>
      <c r="I469" s="183"/>
      <c r="N469" s="10"/>
      <c r="O469" s="351"/>
      <c r="P469" s="351"/>
      <c r="Q469" s="314"/>
      <c r="R469" s="184"/>
      <c r="S469" s="352"/>
    </row>
    <row r="470" ht="22.5" customHeight="1">
      <c r="C470" s="181"/>
      <c r="E470" s="73"/>
      <c r="F470" s="28"/>
      <c r="G470" s="182"/>
      <c r="H470" s="350"/>
      <c r="I470" s="183"/>
      <c r="N470" s="10"/>
      <c r="O470" s="351"/>
      <c r="P470" s="351"/>
      <c r="Q470" s="314"/>
      <c r="R470" s="184"/>
      <c r="S470" s="352"/>
    </row>
    <row r="471" ht="22.5" customHeight="1">
      <c r="C471" s="181"/>
      <c r="E471" s="73"/>
      <c r="F471" s="28"/>
      <c r="G471" s="182"/>
      <c r="H471" s="350"/>
      <c r="I471" s="183"/>
      <c r="N471" s="10"/>
      <c r="O471" s="351"/>
      <c r="P471" s="351"/>
      <c r="Q471" s="314"/>
      <c r="R471" s="184"/>
      <c r="S471" s="352"/>
    </row>
    <row r="472" ht="22.5" customHeight="1">
      <c r="C472" s="181"/>
      <c r="E472" s="73"/>
      <c r="F472" s="28"/>
      <c r="G472" s="182"/>
      <c r="H472" s="350"/>
      <c r="I472" s="183"/>
      <c r="N472" s="10"/>
      <c r="O472" s="351"/>
      <c r="P472" s="351"/>
      <c r="Q472" s="314"/>
      <c r="R472" s="184"/>
      <c r="S472" s="352"/>
    </row>
    <row r="473" ht="22.5" customHeight="1">
      <c r="C473" s="181"/>
      <c r="E473" s="73"/>
      <c r="F473" s="28"/>
      <c r="G473" s="182"/>
      <c r="H473" s="350"/>
      <c r="I473" s="183"/>
      <c r="N473" s="10"/>
      <c r="O473" s="351"/>
      <c r="P473" s="351"/>
      <c r="Q473" s="314"/>
      <c r="R473" s="184"/>
      <c r="S473" s="352"/>
    </row>
    <row r="474" ht="22.5" customHeight="1">
      <c r="C474" s="181"/>
      <c r="E474" s="73"/>
      <c r="F474" s="28"/>
      <c r="G474" s="182"/>
      <c r="H474" s="350"/>
      <c r="I474" s="183"/>
      <c r="N474" s="10"/>
      <c r="O474" s="351"/>
      <c r="P474" s="351"/>
      <c r="Q474" s="314"/>
      <c r="R474" s="184"/>
      <c r="S474" s="352"/>
    </row>
    <row r="475" ht="22.5" customHeight="1">
      <c r="C475" s="181"/>
      <c r="E475" s="73"/>
      <c r="F475" s="28"/>
      <c r="G475" s="182"/>
      <c r="H475" s="350"/>
      <c r="I475" s="183"/>
      <c r="N475" s="10"/>
      <c r="O475" s="351"/>
      <c r="P475" s="351"/>
      <c r="Q475" s="314"/>
      <c r="R475" s="184"/>
      <c r="S475" s="352"/>
    </row>
    <row r="476" ht="22.5" customHeight="1">
      <c r="C476" s="181"/>
      <c r="E476" s="73"/>
      <c r="F476" s="28"/>
      <c r="G476" s="182"/>
      <c r="H476" s="350"/>
      <c r="I476" s="183"/>
      <c r="N476" s="10"/>
      <c r="O476" s="351"/>
      <c r="P476" s="351"/>
      <c r="Q476" s="314"/>
      <c r="R476" s="184"/>
      <c r="S476" s="352"/>
    </row>
    <row r="477" ht="22.5" customHeight="1">
      <c r="C477" s="181"/>
      <c r="E477" s="73"/>
      <c r="F477" s="28"/>
      <c r="G477" s="182"/>
      <c r="H477" s="350"/>
      <c r="I477" s="183"/>
      <c r="N477" s="10"/>
      <c r="O477" s="351"/>
      <c r="P477" s="351"/>
      <c r="Q477" s="314"/>
      <c r="R477" s="184"/>
      <c r="S477" s="352"/>
    </row>
    <row r="478" ht="22.5" customHeight="1">
      <c r="C478" s="181"/>
      <c r="E478" s="73"/>
      <c r="F478" s="28"/>
      <c r="G478" s="182"/>
      <c r="H478" s="350"/>
      <c r="I478" s="183"/>
      <c r="N478" s="10"/>
      <c r="O478" s="351"/>
      <c r="P478" s="351"/>
      <c r="Q478" s="314"/>
      <c r="R478" s="184"/>
      <c r="S478" s="352"/>
    </row>
    <row r="479" ht="22.5" customHeight="1">
      <c r="C479" s="181"/>
      <c r="E479" s="73"/>
      <c r="F479" s="28"/>
      <c r="G479" s="182"/>
      <c r="H479" s="350"/>
      <c r="I479" s="183"/>
      <c r="N479" s="10"/>
      <c r="O479" s="351"/>
      <c r="P479" s="351"/>
      <c r="Q479" s="314"/>
      <c r="R479" s="184"/>
      <c r="S479" s="352"/>
    </row>
    <row r="480" ht="22.5" customHeight="1">
      <c r="C480" s="181"/>
      <c r="E480" s="73"/>
      <c r="F480" s="28"/>
      <c r="G480" s="182"/>
      <c r="H480" s="350"/>
      <c r="I480" s="183"/>
      <c r="N480" s="10"/>
      <c r="O480" s="351"/>
      <c r="P480" s="351"/>
      <c r="Q480" s="314"/>
      <c r="R480" s="184"/>
      <c r="S480" s="352"/>
    </row>
    <row r="481" ht="22.5" customHeight="1">
      <c r="C481" s="181"/>
      <c r="E481" s="73"/>
      <c r="F481" s="28"/>
      <c r="G481" s="182"/>
      <c r="H481" s="350"/>
      <c r="I481" s="183"/>
      <c r="N481" s="10"/>
      <c r="O481" s="351"/>
      <c r="P481" s="351"/>
      <c r="Q481" s="314"/>
      <c r="R481" s="184"/>
      <c r="S481" s="352"/>
    </row>
    <row r="482" ht="22.5" customHeight="1">
      <c r="C482" s="181"/>
      <c r="E482" s="73"/>
      <c r="F482" s="28"/>
      <c r="G482" s="182"/>
      <c r="H482" s="350"/>
      <c r="I482" s="183"/>
      <c r="N482" s="10"/>
      <c r="O482" s="351"/>
      <c r="P482" s="351"/>
      <c r="Q482" s="314"/>
      <c r="R482" s="184"/>
      <c r="S482" s="352"/>
    </row>
    <row r="483" ht="22.5" customHeight="1">
      <c r="C483" s="181"/>
      <c r="E483" s="73"/>
      <c r="F483" s="28"/>
      <c r="G483" s="182"/>
      <c r="H483" s="350"/>
      <c r="I483" s="183"/>
      <c r="N483" s="10"/>
      <c r="O483" s="351"/>
      <c r="P483" s="351"/>
      <c r="Q483" s="314"/>
      <c r="R483" s="184"/>
      <c r="S483" s="352"/>
    </row>
    <row r="484" ht="22.5" customHeight="1">
      <c r="C484" s="181"/>
      <c r="E484" s="73"/>
      <c r="F484" s="28"/>
      <c r="G484" s="182"/>
      <c r="H484" s="350"/>
      <c r="I484" s="183"/>
      <c r="N484" s="10"/>
      <c r="O484" s="351"/>
      <c r="P484" s="351"/>
      <c r="Q484" s="314"/>
      <c r="R484" s="184"/>
      <c r="S484" s="352"/>
    </row>
    <row r="485" ht="22.5" customHeight="1">
      <c r="C485" s="181"/>
      <c r="E485" s="73"/>
      <c r="F485" s="28"/>
      <c r="G485" s="182"/>
      <c r="H485" s="350"/>
      <c r="I485" s="183"/>
      <c r="N485" s="10"/>
      <c r="O485" s="351"/>
      <c r="P485" s="351"/>
      <c r="Q485" s="314"/>
      <c r="R485" s="184"/>
      <c r="S485" s="352"/>
    </row>
    <row r="486" ht="22.5" customHeight="1">
      <c r="C486" s="181"/>
      <c r="E486" s="73"/>
      <c r="F486" s="28"/>
      <c r="G486" s="182"/>
      <c r="H486" s="350"/>
      <c r="I486" s="183"/>
      <c r="N486" s="10"/>
      <c r="O486" s="351"/>
      <c r="P486" s="351"/>
      <c r="Q486" s="314"/>
      <c r="R486" s="184"/>
      <c r="S486" s="352"/>
    </row>
    <row r="487" ht="22.5" customHeight="1">
      <c r="C487" s="181"/>
      <c r="E487" s="73"/>
      <c r="F487" s="28"/>
      <c r="G487" s="182"/>
      <c r="H487" s="350"/>
      <c r="I487" s="183"/>
      <c r="N487" s="10"/>
      <c r="O487" s="351"/>
      <c r="P487" s="351"/>
      <c r="Q487" s="314"/>
      <c r="R487" s="184"/>
      <c r="S487" s="352"/>
    </row>
    <row r="488" ht="22.5" customHeight="1">
      <c r="C488" s="181"/>
      <c r="E488" s="73"/>
      <c r="F488" s="28"/>
      <c r="G488" s="182"/>
      <c r="H488" s="350"/>
      <c r="I488" s="183"/>
      <c r="N488" s="10"/>
      <c r="O488" s="351"/>
      <c r="P488" s="351"/>
      <c r="Q488" s="314"/>
      <c r="R488" s="184"/>
      <c r="S488" s="352"/>
    </row>
    <row r="489" ht="22.5" customHeight="1">
      <c r="C489" s="181"/>
      <c r="E489" s="73"/>
      <c r="F489" s="28"/>
      <c r="G489" s="182"/>
      <c r="H489" s="350"/>
      <c r="I489" s="183"/>
      <c r="N489" s="10"/>
      <c r="O489" s="351"/>
      <c r="P489" s="351"/>
      <c r="Q489" s="314"/>
      <c r="R489" s="184"/>
      <c r="S489" s="352"/>
    </row>
    <row r="490" ht="22.5" customHeight="1">
      <c r="C490" s="181"/>
      <c r="E490" s="73"/>
      <c r="F490" s="28"/>
      <c r="G490" s="182"/>
      <c r="H490" s="350"/>
      <c r="I490" s="183"/>
      <c r="N490" s="10"/>
      <c r="O490" s="351"/>
      <c r="P490" s="351"/>
      <c r="Q490" s="314"/>
      <c r="R490" s="184"/>
      <c r="S490" s="352"/>
    </row>
    <row r="491" ht="22.5" customHeight="1">
      <c r="C491" s="181"/>
      <c r="E491" s="73"/>
      <c r="F491" s="28"/>
      <c r="G491" s="182"/>
      <c r="H491" s="350"/>
      <c r="I491" s="183"/>
      <c r="N491" s="10"/>
      <c r="O491" s="351"/>
      <c r="P491" s="351"/>
      <c r="Q491" s="314"/>
      <c r="R491" s="184"/>
      <c r="S491" s="352"/>
    </row>
    <row r="492" ht="22.5" customHeight="1">
      <c r="C492" s="181"/>
      <c r="E492" s="73"/>
      <c r="F492" s="28"/>
      <c r="G492" s="182"/>
      <c r="H492" s="350"/>
      <c r="I492" s="183"/>
      <c r="N492" s="10"/>
      <c r="O492" s="351"/>
      <c r="P492" s="351"/>
      <c r="Q492" s="314"/>
      <c r="R492" s="184"/>
      <c r="S492" s="352"/>
    </row>
    <row r="493" ht="22.5" customHeight="1">
      <c r="C493" s="181"/>
      <c r="E493" s="73"/>
      <c r="F493" s="28"/>
      <c r="G493" s="182"/>
      <c r="H493" s="350"/>
      <c r="I493" s="183"/>
      <c r="N493" s="10"/>
      <c r="O493" s="351"/>
      <c r="P493" s="351"/>
      <c r="Q493" s="314"/>
      <c r="R493" s="184"/>
      <c r="S493" s="352"/>
    </row>
    <row r="494" ht="22.5" customHeight="1">
      <c r="C494" s="181"/>
      <c r="E494" s="73"/>
      <c r="F494" s="28"/>
      <c r="G494" s="182"/>
      <c r="H494" s="350"/>
      <c r="I494" s="183"/>
      <c r="N494" s="10"/>
      <c r="O494" s="351"/>
      <c r="P494" s="351"/>
      <c r="Q494" s="314"/>
      <c r="R494" s="184"/>
      <c r="S494" s="352"/>
    </row>
    <row r="495" ht="22.5" customHeight="1">
      <c r="C495" s="181"/>
      <c r="E495" s="73"/>
      <c r="F495" s="28"/>
      <c r="G495" s="182"/>
      <c r="H495" s="350"/>
      <c r="I495" s="183"/>
      <c r="N495" s="10"/>
      <c r="O495" s="351"/>
      <c r="P495" s="351"/>
      <c r="Q495" s="314"/>
      <c r="R495" s="184"/>
      <c r="S495" s="352"/>
    </row>
    <row r="496" ht="22.5" customHeight="1">
      <c r="C496" s="181"/>
      <c r="E496" s="73"/>
      <c r="F496" s="28"/>
      <c r="G496" s="182"/>
      <c r="H496" s="350"/>
      <c r="I496" s="183"/>
      <c r="N496" s="10"/>
      <c r="O496" s="351"/>
      <c r="P496" s="351"/>
      <c r="Q496" s="314"/>
      <c r="R496" s="184"/>
      <c r="S496" s="352"/>
    </row>
    <row r="497" ht="22.5" customHeight="1">
      <c r="C497" s="181"/>
      <c r="E497" s="73"/>
      <c r="F497" s="28"/>
      <c r="G497" s="182"/>
      <c r="H497" s="350"/>
      <c r="I497" s="183"/>
      <c r="N497" s="10"/>
      <c r="O497" s="351"/>
      <c r="P497" s="351"/>
      <c r="Q497" s="314"/>
      <c r="R497" s="184"/>
      <c r="S497" s="352"/>
    </row>
    <row r="498" ht="22.5" customHeight="1">
      <c r="C498" s="181"/>
      <c r="E498" s="73"/>
      <c r="F498" s="28"/>
      <c r="G498" s="182"/>
      <c r="H498" s="350"/>
      <c r="I498" s="183"/>
      <c r="N498" s="10"/>
      <c r="O498" s="351"/>
      <c r="P498" s="351"/>
      <c r="Q498" s="314"/>
      <c r="R498" s="184"/>
      <c r="S498" s="352"/>
    </row>
    <row r="499" ht="22.5" customHeight="1">
      <c r="C499" s="181"/>
      <c r="E499" s="73"/>
      <c r="F499" s="28"/>
      <c r="G499" s="182"/>
      <c r="H499" s="350"/>
      <c r="I499" s="183"/>
      <c r="N499" s="10"/>
      <c r="O499" s="351"/>
      <c r="P499" s="351"/>
      <c r="Q499" s="314"/>
      <c r="R499" s="184"/>
      <c r="S499" s="352"/>
    </row>
    <row r="500" ht="22.5" customHeight="1">
      <c r="C500" s="181"/>
      <c r="E500" s="73"/>
      <c r="F500" s="28"/>
      <c r="G500" s="182"/>
      <c r="H500" s="350"/>
      <c r="I500" s="183"/>
      <c r="N500" s="10"/>
      <c r="O500" s="351"/>
      <c r="P500" s="351"/>
      <c r="Q500" s="314"/>
      <c r="R500" s="184"/>
      <c r="S500" s="352"/>
    </row>
    <row r="501" ht="22.5" customHeight="1">
      <c r="C501" s="181"/>
      <c r="E501" s="73"/>
      <c r="F501" s="28"/>
      <c r="G501" s="182"/>
      <c r="H501" s="350"/>
      <c r="I501" s="183"/>
      <c r="N501" s="10"/>
      <c r="O501" s="351"/>
      <c r="P501" s="351"/>
      <c r="Q501" s="314"/>
      <c r="R501" s="184"/>
      <c r="S501" s="352"/>
    </row>
    <row r="502" ht="22.5" customHeight="1">
      <c r="C502" s="181"/>
      <c r="E502" s="73"/>
      <c r="F502" s="28"/>
      <c r="G502" s="182"/>
      <c r="H502" s="350"/>
      <c r="I502" s="183"/>
      <c r="N502" s="10"/>
      <c r="O502" s="351"/>
      <c r="P502" s="351"/>
      <c r="Q502" s="314"/>
      <c r="R502" s="184"/>
      <c r="S502" s="352"/>
    </row>
    <row r="503" ht="22.5" customHeight="1">
      <c r="C503" s="181"/>
      <c r="E503" s="73"/>
      <c r="F503" s="28"/>
      <c r="G503" s="182"/>
      <c r="H503" s="350"/>
      <c r="I503" s="183"/>
      <c r="N503" s="10"/>
      <c r="O503" s="351"/>
      <c r="P503" s="351"/>
      <c r="Q503" s="314"/>
      <c r="R503" s="184"/>
      <c r="S503" s="352"/>
    </row>
    <row r="504" ht="22.5" customHeight="1">
      <c r="C504" s="181"/>
      <c r="E504" s="73"/>
      <c r="F504" s="28"/>
      <c r="G504" s="182"/>
      <c r="H504" s="350"/>
      <c r="I504" s="183"/>
      <c r="N504" s="10"/>
      <c r="O504" s="351"/>
      <c r="P504" s="351"/>
      <c r="Q504" s="314"/>
      <c r="R504" s="184"/>
      <c r="S504" s="352"/>
    </row>
    <row r="505" ht="22.5" customHeight="1">
      <c r="C505" s="181"/>
      <c r="E505" s="73"/>
      <c r="F505" s="28"/>
      <c r="G505" s="182"/>
      <c r="H505" s="350"/>
      <c r="I505" s="183"/>
      <c r="N505" s="10"/>
      <c r="O505" s="351"/>
      <c r="P505" s="351"/>
      <c r="Q505" s="314"/>
      <c r="R505" s="184"/>
      <c r="S505" s="352"/>
    </row>
    <row r="506" ht="22.5" customHeight="1">
      <c r="C506" s="181"/>
      <c r="E506" s="73"/>
      <c r="F506" s="28"/>
      <c r="G506" s="182"/>
      <c r="H506" s="350"/>
      <c r="I506" s="183"/>
      <c r="N506" s="10"/>
      <c r="O506" s="351"/>
      <c r="P506" s="351"/>
      <c r="Q506" s="314"/>
      <c r="R506" s="184"/>
      <c r="S506" s="352"/>
    </row>
    <row r="507" ht="22.5" customHeight="1">
      <c r="C507" s="181"/>
      <c r="E507" s="73"/>
      <c r="F507" s="28"/>
      <c r="G507" s="182"/>
      <c r="H507" s="350"/>
      <c r="I507" s="183"/>
      <c r="N507" s="10"/>
      <c r="O507" s="351"/>
      <c r="P507" s="351"/>
      <c r="Q507" s="314"/>
      <c r="R507" s="184"/>
      <c r="S507" s="352"/>
    </row>
    <row r="508" ht="22.5" customHeight="1">
      <c r="C508" s="181"/>
      <c r="E508" s="73"/>
      <c r="F508" s="28"/>
      <c r="G508" s="182"/>
      <c r="H508" s="350"/>
      <c r="I508" s="183"/>
      <c r="N508" s="10"/>
      <c r="O508" s="351"/>
      <c r="P508" s="351"/>
      <c r="Q508" s="314"/>
      <c r="R508" s="184"/>
      <c r="S508" s="352"/>
    </row>
    <row r="509" ht="22.5" customHeight="1">
      <c r="C509" s="181"/>
      <c r="E509" s="73"/>
      <c r="F509" s="28"/>
      <c r="G509" s="182"/>
      <c r="H509" s="350"/>
      <c r="I509" s="183"/>
      <c r="N509" s="10"/>
      <c r="O509" s="351"/>
      <c r="P509" s="351"/>
      <c r="Q509" s="314"/>
      <c r="R509" s="184"/>
      <c r="S509" s="352"/>
    </row>
    <row r="510" ht="22.5" customHeight="1">
      <c r="C510" s="181"/>
      <c r="E510" s="73"/>
      <c r="F510" s="28"/>
      <c r="G510" s="182"/>
      <c r="H510" s="350"/>
      <c r="I510" s="183"/>
      <c r="N510" s="10"/>
      <c r="O510" s="351"/>
      <c r="P510" s="351"/>
      <c r="Q510" s="314"/>
      <c r="R510" s="184"/>
      <c r="S510" s="352"/>
    </row>
    <row r="511" ht="22.5" customHeight="1">
      <c r="C511" s="181"/>
      <c r="E511" s="73"/>
      <c r="F511" s="28"/>
      <c r="G511" s="182"/>
      <c r="H511" s="350"/>
      <c r="I511" s="183"/>
      <c r="N511" s="10"/>
      <c r="O511" s="351"/>
      <c r="P511" s="351"/>
      <c r="Q511" s="314"/>
      <c r="R511" s="184"/>
      <c r="S511" s="352"/>
    </row>
    <row r="512" ht="22.5" customHeight="1">
      <c r="C512" s="181"/>
      <c r="E512" s="73"/>
      <c r="F512" s="28"/>
      <c r="G512" s="182"/>
      <c r="H512" s="350"/>
      <c r="I512" s="183"/>
      <c r="N512" s="10"/>
      <c r="O512" s="351"/>
      <c r="P512" s="351"/>
      <c r="Q512" s="314"/>
      <c r="R512" s="184"/>
      <c r="S512" s="352"/>
    </row>
    <row r="513" ht="22.5" customHeight="1">
      <c r="C513" s="181"/>
      <c r="E513" s="73"/>
      <c r="F513" s="28"/>
      <c r="G513" s="182"/>
      <c r="H513" s="350"/>
      <c r="I513" s="183"/>
      <c r="N513" s="10"/>
      <c r="O513" s="351"/>
      <c r="P513" s="351"/>
      <c r="Q513" s="314"/>
      <c r="R513" s="184"/>
      <c r="S513" s="352"/>
    </row>
    <row r="514" ht="22.5" customHeight="1">
      <c r="C514" s="181"/>
      <c r="E514" s="73"/>
      <c r="F514" s="28"/>
      <c r="G514" s="182"/>
      <c r="H514" s="350"/>
      <c r="I514" s="183"/>
      <c r="N514" s="10"/>
      <c r="O514" s="351"/>
      <c r="P514" s="351"/>
      <c r="Q514" s="314"/>
      <c r="R514" s="184"/>
      <c r="S514" s="352"/>
    </row>
    <row r="515" ht="22.5" customHeight="1">
      <c r="C515" s="181"/>
      <c r="E515" s="73"/>
      <c r="F515" s="28"/>
      <c r="G515" s="182"/>
      <c r="H515" s="350"/>
      <c r="I515" s="183"/>
      <c r="N515" s="10"/>
      <c r="O515" s="351"/>
      <c r="P515" s="351"/>
      <c r="Q515" s="314"/>
      <c r="R515" s="184"/>
      <c r="S515" s="352"/>
    </row>
    <row r="516" ht="22.5" customHeight="1">
      <c r="C516" s="181"/>
      <c r="E516" s="73"/>
      <c r="F516" s="28"/>
      <c r="G516" s="182"/>
      <c r="H516" s="350"/>
      <c r="I516" s="183"/>
      <c r="N516" s="10"/>
      <c r="O516" s="351"/>
      <c r="P516" s="351"/>
      <c r="Q516" s="314"/>
      <c r="R516" s="184"/>
      <c r="S516" s="352"/>
    </row>
    <row r="517" ht="22.5" customHeight="1">
      <c r="C517" s="181"/>
      <c r="E517" s="73"/>
      <c r="F517" s="28"/>
      <c r="G517" s="182"/>
      <c r="H517" s="350"/>
      <c r="I517" s="183"/>
      <c r="N517" s="10"/>
      <c r="O517" s="351"/>
      <c r="P517" s="351"/>
      <c r="Q517" s="314"/>
      <c r="R517" s="184"/>
      <c r="S517" s="352"/>
    </row>
    <row r="518" ht="22.5" customHeight="1">
      <c r="C518" s="181"/>
      <c r="E518" s="73"/>
      <c r="F518" s="28"/>
      <c r="G518" s="182"/>
      <c r="H518" s="350"/>
      <c r="I518" s="183"/>
      <c r="N518" s="10"/>
      <c r="O518" s="351"/>
      <c r="P518" s="351"/>
      <c r="Q518" s="314"/>
      <c r="R518" s="184"/>
      <c r="S518" s="352"/>
    </row>
    <row r="519" ht="22.5" customHeight="1">
      <c r="C519" s="181"/>
      <c r="E519" s="73"/>
      <c r="F519" s="28"/>
      <c r="G519" s="182"/>
      <c r="H519" s="350"/>
      <c r="I519" s="183"/>
      <c r="N519" s="10"/>
      <c r="O519" s="351"/>
      <c r="P519" s="351"/>
      <c r="Q519" s="314"/>
      <c r="R519" s="184"/>
      <c r="S519" s="352"/>
    </row>
    <row r="520" ht="22.5" customHeight="1">
      <c r="C520" s="181"/>
      <c r="E520" s="73"/>
      <c r="F520" s="28"/>
      <c r="G520" s="182"/>
      <c r="H520" s="350"/>
      <c r="I520" s="183"/>
      <c r="N520" s="10"/>
      <c r="O520" s="351"/>
      <c r="P520" s="351"/>
      <c r="Q520" s="314"/>
      <c r="R520" s="184"/>
      <c r="S520" s="352"/>
    </row>
    <row r="521" ht="22.5" customHeight="1">
      <c r="C521" s="181"/>
      <c r="E521" s="73"/>
      <c r="F521" s="28"/>
      <c r="G521" s="182"/>
      <c r="H521" s="350"/>
      <c r="I521" s="183"/>
      <c r="N521" s="10"/>
      <c r="O521" s="351"/>
      <c r="P521" s="351"/>
      <c r="Q521" s="314"/>
      <c r="R521" s="184"/>
      <c r="S521" s="352"/>
    </row>
    <row r="522" ht="22.5" customHeight="1">
      <c r="C522" s="181"/>
      <c r="E522" s="73"/>
      <c r="F522" s="28"/>
      <c r="G522" s="182"/>
      <c r="H522" s="350"/>
      <c r="I522" s="183"/>
      <c r="N522" s="10"/>
      <c r="O522" s="351"/>
      <c r="P522" s="351"/>
      <c r="Q522" s="314"/>
      <c r="R522" s="184"/>
      <c r="S522" s="352"/>
    </row>
    <row r="523" ht="22.5" customHeight="1">
      <c r="C523" s="181"/>
      <c r="E523" s="73"/>
      <c r="F523" s="28"/>
      <c r="G523" s="182"/>
      <c r="H523" s="350"/>
      <c r="I523" s="183"/>
      <c r="N523" s="10"/>
      <c r="O523" s="351"/>
      <c r="P523" s="351"/>
      <c r="Q523" s="314"/>
      <c r="R523" s="184"/>
      <c r="S523" s="352"/>
    </row>
    <row r="524" ht="22.5" customHeight="1">
      <c r="C524" s="181"/>
      <c r="E524" s="73"/>
      <c r="F524" s="28"/>
      <c r="G524" s="182"/>
      <c r="H524" s="350"/>
      <c r="I524" s="183"/>
      <c r="N524" s="10"/>
      <c r="O524" s="351"/>
      <c r="P524" s="351"/>
      <c r="Q524" s="314"/>
      <c r="R524" s="184"/>
      <c r="S524" s="352"/>
    </row>
    <row r="525" ht="22.5" customHeight="1">
      <c r="C525" s="181"/>
      <c r="E525" s="73"/>
      <c r="F525" s="28"/>
      <c r="G525" s="182"/>
      <c r="H525" s="350"/>
      <c r="I525" s="183"/>
      <c r="N525" s="10"/>
      <c r="O525" s="351"/>
      <c r="P525" s="351"/>
      <c r="Q525" s="314"/>
      <c r="R525" s="184"/>
      <c r="S525" s="352"/>
    </row>
    <row r="526" ht="22.5" customHeight="1">
      <c r="C526" s="181"/>
      <c r="E526" s="73"/>
      <c r="F526" s="28"/>
      <c r="G526" s="182"/>
      <c r="H526" s="350"/>
      <c r="I526" s="183"/>
      <c r="N526" s="10"/>
      <c r="O526" s="351"/>
      <c r="P526" s="351"/>
      <c r="Q526" s="314"/>
      <c r="R526" s="184"/>
      <c r="S526" s="352"/>
    </row>
    <row r="527" ht="22.5" customHeight="1">
      <c r="C527" s="181"/>
      <c r="E527" s="73"/>
      <c r="F527" s="28"/>
      <c r="G527" s="182"/>
      <c r="H527" s="350"/>
      <c r="I527" s="183"/>
      <c r="N527" s="10"/>
      <c r="O527" s="351"/>
      <c r="P527" s="351"/>
      <c r="Q527" s="314"/>
      <c r="R527" s="184"/>
      <c r="S527" s="352"/>
    </row>
    <row r="528" ht="22.5" customHeight="1">
      <c r="C528" s="181"/>
      <c r="E528" s="73"/>
      <c r="F528" s="28"/>
      <c r="G528" s="182"/>
      <c r="H528" s="350"/>
      <c r="I528" s="183"/>
      <c r="N528" s="10"/>
      <c r="O528" s="351"/>
      <c r="P528" s="351"/>
      <c r="Q528" s="314"/>
      <c r="R528" s="184"/>
      <c r="S528" s="352"/>
    </row>
    <row r="529" ht="22.5" customHeight="1">
      <c r="C529" s="181"/>
      <c r="E529" s="73"/>
      <c r="F529" s="28"/>
      <c r="G529" s="182"/>
      <c r="H529" s="350"/>
      <c r="I529" s="183"/>
      <c r="N529" s="10"/>
      <c r="O529" s="351"/>
      <c r="P529" s="351"/>
      <c r="Q529" s="314"/>
      <c r="R529" s="184"/>
      <c r="S529" s="352"/>
    </row>
    <row r="530" ht="22.5" customHeight="1">
      <c r="C530" s="181"/>
      <c r="E530" s="73"/>
      <c r="F530" s="28"/>
      <c r="G530" s="182"/>
      <c r="H530" s="350"/>
      <c r="I530" s="183"/>
      <c r="N530" s="10"/>
      <c r="O530" s="351"/>
      <c r="P530" s="351"/>
      <c r="Q530" s="314"/>
      <c r="R530" s="184"/>
      <c r="S530" s="352"/>
    </row>
    <row r="531" ht="22.5" customHeight="1">
      <c r="C531" s="181"/>
      <c r="E531" s="73"/>
      <c r="F531" s="28"/>
      <c r="G531" s="182"/>
      <c r="H531" s="350"/>
      <c r="I531" s="183"/>
      <c r="N531" s="10"/>
      <c r="O531" s="351"/>
      <c r="P531" s="351"/>
      <c r="Q531" s="314"/>
      <c r="R531" s="184"/>
      <c r="S531" s="352"/>
    </row>
    <row r="532" ht="22.5" customHeight="1">
      <c r="C532" s="181"/>
      <c r="E532" s="73"/>
      <c r="F532" s="28"/>
      <c r="G532" s="182"/>
      <c r="H532" s="350"/>
      <c r="I532" s="183"/>
      <c r="N532" s="10"/>
      <c r="O532" s="351"/>
      <c r="P532" s="351"/>
      <c r="Q532" s="314"/>
      <c r="R532" s="184"/>
      <c r="S532" s="352"/>
    </row>
    <row r="533" ht="22.5" customHeight="1">
      <c r="C533" s="181"/>
      <c r="E533" s="73"/>
      <c r="F533" s="28"/>
      <c r="G533" s="182"/>
      <c r="H533" s="350"/>
      <c r="I533" s="183"/>
      <c r="N533" s="10"/>
      <c r="O533" s="351"/>
      <c r="P533" s="351"/>
      <c r="Q533" s="314"/>
      <c r="R533" s="184"/>
      <c r="S533" s="352"/>
    </row>
    <row r="534" ht="22.5" customHeight="1">
      <c r="C534" s="181"/>
      <c r="E534" s="73"/>
      <c r="F534" s="28"/>
      <c r="G534" s="182"/>
      <c r="H534" s="350"/>
      <c r="I534" s="183"/>
      <c r="N534" s="10"/>
      <c r="O534" s="351"/>
      <c r="P534" s="351"/>
      <c r="Q534" s="314"/>
      <c r="R534" s="184"/>
      <c r="S534" s="352"/>
    </row>
    <row r="535" ht="22.5" customHeight="1">
      <c r="C535" s="181"/>
      <c r="E535" s="73"/>
      <c r="F535" s="28"/>
      <c r="G535" s="182"/>
      <c r="H535" s="350"/>
      <c r="I535" s="183"/>
      <c r="N535" s="10"/>
      <c r="O535" s="351"/>
      <c r="P535" s="351"/>
      <c r="Q535" s="314"/>
      <c r="R535" s="184"/>
      <c r="S535" s="352"/>
    </row>
    <row r="536" ht="22.5" customHeight="1">
      <c r="C536" s="181"/>
      <c r="E536" s="73"/>
      <c r="F536" s="28"/>
      <c r="G536" s="182"/>
      <c r="H536" s="350"/>
      <c r="I536" s="183"/>
      <c r="N536" s="10"/>
      <c r="O536" s="351"/>
      <c r="P536" s="351"/>
      <c r="Q536" s="314"/>
      <c r="R536" s="184"/>
      <c r="S536" s="352"/>
    </row>
    <row r="537" ht="22.5" customHeight="1">
      <c r="C537" s="181"/>
      <c r="E537" s="73"/>
      <c r="F537" s="28"/>
      <c r="G537" s="182"/>
      <c r="H537" s="350"/>
      <c r="I537" s="183"/>
      <c r="N537" s="10"/>
      <c r="O537" s="351"/>
      <c r="P537" s="351"/>
      <c r="Q537" s="314"/>
      <c r="R537" s="184"/>
      <c r="S537" s="352"/>
    </row>
    <row r="538" ht="22.5" customHeight="1">
      <c r="C538" s="181"/>
      <c r="E538" s="73"/>
      <c r="F538" s="28"/>
      <c r="G538" s="182"/>
      <c r="H538" s="350"/>
      <c r="I538" s="183"/>
      <c r="N538" s="10"/>
      <c r="O538" s="351"/>
      <c r="P538" s="351"/>
      <c r="Q538" s="314"/>
      <c r="R538" s="184"/>
      <c r="S538" s="352"/>
    </row>
    <row r="539" ht="22.5" customHeight="1">
      <c r="C539" s="181"/>
      <c r="E539" s="73"/>
      <c r="F539" s="28"/>
      <c r="G539" s="182"/>
      <c r="H539" s="350"/>
      <c r="I539" s="183"/>
      <c r="N539" s="10"/>
      <c r="O539" s="351"/>
      <c r="P539" s="351"/>
      <c r="Q539" s="314"/>
      <c r="R539" s="184"/>
      <c r="S539" s="352"/>
    </row>
    <row r="540" ht="22.5" customHeight="1">
      <c r="C540" s="181"/>
      <c r="E540" s="73"/>
      <c r="F540" s="28"/>
      <c r="G540" s="182"/>
      <c r="H540" s="350"/>
      <c r="I540" s="183"/>
      <c r="N540" s="10"/>
      <c r="O540" s="351"/>
      <c r="P540" s="351"/>
      <c r="Q540" s="314"/>
      <c r="R540" s="184"/>
      <c r="S540" s="352"/>
    </row>
    <row r="541" ht="22.5" customHeight="1">
      <c r="C541" s="181"/>
      <c r="E541" s="73"/>
      <c r="F541" s="28"/>
      <c r="G541" s="182"/>
      <c r="H541" s="350"/>
      <c r="I541" s="183"/>
      <c r="N541" s="10"/>
      <c r="O541" s="351"/>
      <c r="P541" s="351"/>
      <c r="Q541" s="314"/>
      <c r="R541" s="184"/>
      <c r="S541" s="352"/>
    </row>
    <row r="542" ht="22.5" customHeight="1">
      <c r="C542" s="181"/>
      <c r="E542" s="73"/>
      <c r="F542" s="28"/>
      <c r="G542" s="182"/>
      <c r="H542" s="350"/>
      <c r="I542" s="183"/>
      <c r="N542" s="10"/>
      <c r="O542" s="351"/>
      <c r="P542" s="351"/>
      <c r="Q542" s="314"/>
      <c r="R542" s="184"/>
      <c r="S542" s="352"/>
    </row>
    <row r="543" ht="22.5" customHeight="1">
      <c r="C543" s="181"/>
      <c r="E543" s="73"/>
      <c r="F543" s="28"/>
      <c r="G543" s="182"/>
      <c r="H543" s="350"/>
      <c r="I543" s="183"/>
      <c r="N543" s="10"/>
      <c r="O543" s="351"/>
      <c r="P543" s="351"/>
      <c r="Q543" s="314"/>
      <c r="R543" s="184"/>
      <c r="S543" s="352"/>
    </row>
    <row r="544" ht="22.5" customHeight="1">
      <c r="C544" s="181"/>
      <c r="E544" s="73"/>
      <c r="F544" s="28"/>
      <c r="G544" s="182"/>
      <c r="H544" s="350"/>
      <c r="I544" s="183"/>
      <c r="N544" s="10"/>
      <c r="O544" s="351"/>
      <c r="P544" s="351"/>
      <c r="Q544" s="314"/>
      <c r="R544" s="184"/>
      <c r="S544" s="352"/>
    </row>
    <row r="545" ht="22.5" customHeight="1">
      <c r="C545" s="181"/>
      <c r="E545" s="73"/>
      <c r="F545" s="28"/>
      <c r="G545" s="182"/>
      <c r="H545" s="350"/>
      <c r="I545" s="183"/>
      <c r="N545" s="10"/>
      <c r="O545" s="351"/>
      <c r="P545" s="351"/>
      <c r="Q545" s="314"/>
      <c r="R545" s="184"/>
      <c r="S545" s="352"/>
    </row>
    <row r="546" ht="22.5" customHeight="1">
      <c r="C546" s="181"/>
      <c r="E546" s="73"/>
      <c r="F546" s="28"/>
      <c r="G546" s="182"/>
      <c r="H546" s="350"/>
      <c r="I546" s="183"/>
      <c r="N546" s="10"/>
      <c r="O546" s="351"/>
      <c r="P546" s="351"/>
      <c r="Q546" s="314"/>
      <c r="R546" s="184"/>
      <c r="S546" s="352"/>
    </row>
    <row r="547" ht="22.5" customHeight="1">
      <c r="C547" s="181"/>
      <c r="E547" s="73"/>
      <c r="F547" s="28"/>
      <c r="G547" s="182"/>
      <c r="H547" s="350"/>
      <c r="I547" s="183"/>
      <c r="N547" s="10"/>
      <c r="O547" s="351"/>
      <c r="P547" s="351"/>
      <c r="Q547" s="314"/>
      <c r="R547" s="184"/>
      <c r="S547" s="352"/>
    </row>
    <row r="548" ht="22.5" customHeight="1">
      <c r="C548" s="181"/>
      <c r="E548" s="73"/>
      <c r="F548" s="28"/>
      <c r="G548" s="182"/>
      <c r="H548" s="350"/>
      <c r="I548" s="183"/>
      <c r="N548" s="10"/>
      <c r="O548" s="351"/>
      <c r="P548" s="351"/>
      <c r="Q548" s="314"/>
      <c r="R548" s="184"/>
      <c r="S548" s="352"/>
    </row>
    <row r="549" ht="22.5" customHeight="1">
      <c r="C549" s="181"/>
      <c r="E549" s="73"/>
      <c r="F549" s="28"/>
      <c r="G549" s="182"/>
      <c r="H549" s="350"/>
      <c r="I549" s="183"/>
      <c r="N549" s="10"/>
      <c r="O549" s="351"/>
      <c r="P549" s="351"/>
      <c r="Q549" s="314"/>
      <c r="R549" s="184"/>
      <c r="S549" s="352"/>
    </row>
    <row r="550" ht="22.5" customHeight="1">
      <c r="C550" s="181"/>
      <c r="E550" s="73"/>
      <c r="F550" s="28"/>
      <c r="G550" s="182"/>
      <c r="H550" s="350"/>
      <c r="I550" s="183"/>
      <c r="N550" s="10"/>
      <c r="O550" s="351"/>
      <c r="P550" s="351"/>
      <c r="Q550" s="314"/>
      <c r="R550" s="184"/>
      <c r="S550" s="352"/>
    </row>
    <row r="551" ht="22.5" customHeight="1">
      <c r="C551" s="181"/>
      <c r="E551" s="73"/>
      <c r="F551" s="28"/>
      <c r="G551" s="182"/>
      <c r="H551" s="350"/>
      <c r="I551" s="183"/>
      <c r="N551" s="10"/>
      <c r="O551" s="351"/>
      <c r="P551" s="351"/>
      <c r="Q551" s="314"/>
      <c r="R551" s="184"/>
      <c r="S551" s="352"/>
    </row>
    <row r="552" ht="22.5" customHeight="1">
      <c r="C552" s="181"/>
      <c r="E552" s="73"/>
      <c r="F552" s="28"/>
      <c r="G552" s="182"/>
      <c r="H552" s="350"/>
      <c r="I552" s="183"/>
      <c r="N552" s="10"/>
      <c r="O552" s="351"/>
      <c r="P552" s="351"/>
      <c r="Q552" s="314"/>
      <c r="R552" s="184"/>
      <c r="S552" s="352"/>
    </row>
    <row r="553" ht="22.5" customHeight="1">
      <c r="C553" s="181"/>
      <c r="E553" s="73"/>
      <c r="F553" s="28"/>
      <c r="G553" s="182"/>
      <c r="H553" s="350"/>
      <c r="I553" s="183"/>
      <c r="N553" s="10"/>
      <c r="O553" s="351"/>
      <c r="P553" s="351"/>
      <c r="Q553" s="314"/>
      <c r="R553" s="184"/>
      <c r="S553" s="352"/>
    </row>
    <row r="554" ht="22.5" customHeight="1">
      <c r="C554" s="181"/>
      <c r="E554" s="73"/>
      <c r="F554" s="28"/>
      <c r="G554" s="182"/>
      <c r="H554" s="350"/>
      <c r="I554" s="183"/>
      <c r="N554" s="10"/>
      <c r="O554" s="351"/>
      <c r="P554" s="351"/>
      <c r="Q554" s="314"/>
      <c r="R554" s="184"/>
      <c r="S554" s="352"/>
    </row>
    <row r="555" ht="22.5" customHeight="1">
      <c r="C555" s="181"/>
      <c r="E555" s="73"/>
      <c r="F555" s="28"/>
      <c r="G555" s="182"/>
      <c r="H555" s="350"/>
      <c r="I555" s="183"/>
      <c r="N555" s="10"/>
      <c r="O555" s="351"/>
      <c r="P555" s="351"/>
      <c r="Q555" s="314"/>
      <c r="R555" s="184"/>
      <c r="S555" s="352"/>
    </row>
    <row r="556" ht="22.5" customHeight="1">
      <c r="C556" s="181"/>
      <c r="E556" s="73"/>
      <c r="F556" s="28"/>
      <c r="G556" s="182"/>
      <c r="H556" s="350"/>
      <c r="I556" s="183"/>
      <c r="N556" s="10"/>
      <c r="O556" s="351"/>
      <c r="P556" s="351"/>
      <c r="Q556" s="314"/>
      <c r="R556" s="184"/>
      <c r="S556" s="352"/>
    </row>
    <row r="557" ht="22.5" customHeight="1">
      <c r="C557" s="181"/>
      <c r="E557" s="73"/>
      <c r="F557" s="28"/>
      <c r="G557" s="182"/>
      <c r="H557" s="350"/>
      <c r="I557" s="183"/>
      <c r="N557" s="10"/>
      <c r="O557" s="351"/>
      <c r="P557" s="351"/>
      <c r="Q557" s="314"/>
      <c r="R557" s="184"/>
      <c r="S557" s="352"/>
    </row>
    <row r="558" ht="22.5" customHeight="1">
      <c r="C558" s="181"/>
      <c r="E558" s="73"/>
      <c r="F558" s="28"/>
      <c r="G558" s="182"/>
      <c r="H558" s="350"/>
      <c r="I558" s="183"/>
      <c r="N558" s="10"/>
      <c r="O558" s="351"/>
      <c r="P558" s="351"/>
      <c r="Q558" s="314"/>
      <c r="R558" s="184"/>
      <c r="S558" s="352"/>
    </row>
    <row r="559" ht="22.5" customHeight="1">
      <c r="C559" s="181"/>
      <c r="E559" s="73"/>
      <c r="F559" s="28"/>
      <c r="G559" s="182"/>
      <c r="H559" s="350"/>
      <c r="I559" s="183"/>
      <c r="N559" s="10"/>
      <c r="O559" s="351"/>
      <c r="P559" s="351"/>
      <c r="Q559" s="314"/>
      <c r="R559" s="184"/>
      <c r="S559" s="352"/>
    </row>
    <row r="560" ht="22.5" customHeight="1">
      <c r="C560" s="181"/>
      <c r="E560" s="73"/>
      <c r="F560" s="28"/>
      <c r="G560" s="182"/>
      <c r="H560" s="350"/>
      <c r="I560" s="183"/>
      <c r="N560" s="10"/>
      <c r="O560" s="351"/>
      <c r="P560" s="351"/>
      <c r="Q560" s="314"/>
      <c r="R560" s="184"/>
      <c r="S560" s="352"/>
    </row>
    <row r="561" ht="22.5" customHeight="1">
      <c r="C561" s="181"/>
      <c r="E561" s="73"/>
      <c r="F561" s="28"/>
      <c r="G561" s="182"/>
      <c r="H561" s="350"/>
      <c r="I561" s="183"/>
      <c r="N561" s="10"/>
      <c r="O561" s="351"/>
      <c r="P561" s="351"/>
      <c r="Q561" s="314"/>
      <c r="R561" s="184"/>
      <c r="S561" s="352"/>
    </row>
    <row r="562" ht="22.5" customHeight="1">
      <c r="C562" s="181"/>
      <c r="E562" s="73"/>
      <c r="F562" s="28"/>
      <c r="G562" s="182"/>
      <c r="H562" s="350"/>
      <c r="I562" s="183"/>
      <c r="N562" s="10"/>
      <c r="O562" s="351"/>
      <c r="P562" s="351"/>
      <c r="Q562" s="314"/>
      <c r="R562" s="184"/>
      <c r="S562" s="352"/>
    </row>
    <row r="563" ht="22.5" customHeight="1">
      <c r="C563" s="181"/>
      <c r="E563" s="73"/>
      <c r="F563" s="28"/>
      <c r="G563" s="182"/>
      <c r="H563" s="350"/>
      <c r="I563" s="183"/>
      <c r="N563" s="10"/>
      <c r="O563" s="351"/>
      <c r="P563" s="351"/>
      <c r="Q563" s="314"/>
      <c r="R563" s="184"/>
      <c r="S563" s="352"/>
    </row>
    <row r="564" ht="22.5" customHeight="1">
      <c r="C564" s="181"/>
      <c r="E564" s="73"/>
      <c r="F564" s="28"/>
      <c r="G564" s="182"/>
      <c r="H564" s="350"/>
      <c r="I564" s="183"/>
      <c r="N564" s="10"/>
      <c r="O564" s="351"/>
      <c r="P564" s="351"/>
      <c r="Q564" s="314"/>
      <c r="R564" s="184"/>
      <c r="S564" s="352"/>
    </row>
    <row r="565" ht="22.5" customHeight="1">
      <c r="C565" s="181"/>
      <c r="E565" s="73"/>
      <c r="F565" s="28"/>
      <c r="G565" s="182"/>
      <c r="H565" s="350"/>
      <c r="I565" s="183"/>
      <c r="N565" s="10"/>
      <c r="O565" s="351"/>
      <c r="P565" s="351"/>
      <c r="Q565" s="314"/>
      <c r="R565" s="184"/>
      <c r="S565" s="352"/>
    </row>
    <row r="566" ht="22.5" customHeight="1">
      <c r="C566" s="181"/>
      <c r="E566" s="73"/>
      <c r="F566" s="28"/>
      <c r="G566" s="182"/>
      <c r="H566" s="350"/>
      <c r="I566" s="183"/>
      <c r="N566" s="10"/>
      <c r="O566" s="351"/>
      <c r="P566" s="351"/>
      <c r="Q566" s="314"/>
      <c r="R566" s="184"/>
      <c r="S566" s="352"/>
    </row>
    <row r="567" ht="22.5" customHeight="1">
      <c r="C567" s="181"/>
      <c r="E567" s="73"/>
      <c r="F567" s="28"/>
      <c r="G567" s="182"/>
      <c r="H567" s="350"/>
      <c r="I567" s="183"/>
      <c r="N567" s="10"/>
      <c r="O567" s="351"/>
      <c r="P567" s="351"/>
      <c r="Q567" s="314"/>
      <c r="R567" s="184"/>
      <c r="S567" s="352"/>
    </row>
    <row r="568" ht="22.5" customHeight="1">
      <c r="C568" s="181"/>
      <c r="E568" s="73"/>
      <c r="F568" s="28"/>
      <c r="G568" s="182"/>
      <c r="H568" s="350"/>
      <c r="I568" s="183"/>
      <c r="N568" s="10"/>
      <c r="O568" s="351"/>
      <c r="P568" s="351"/>
      <c r="Q568" s="314"/>
      <c r="R568" s="184"/>
      <c r="S568" s="352"/>
    </row>
    <row r="569" ht="22.5" customHeight="1">
      <c r="C569" s="181"/>
      <c r="E569" s="73"/>
      <c r="F569" s="28"/>
      <c r="G569" s="182"/>
      <c r="H569" s="350"/>
      <c r="I569" s="183"/>
      <c r="N569" s="10"/>
      <c r="O569" s="351"/>
      <c r="P569" s="351"/>
      <c r="Q569" s="314"/>
      <c r="R569" s="184"/>
      <c r="S569" s="352"/>
    </row>
    <row r="570" ht="22.5" customHeight="1">
      <c r="C570" s="181"/>
      <c r="E570" s="73"/>
      <c r="F570" s="28"/>
      <c r="G570" s="182"/>
      <c r="H570" s="350"/>
      <c r="I570" s="183"/>
      <c r="N570" s="10"/>
      <c r="O570" s="351"/>
      <c r="P570" s="351"/>
      <c r="Q570" s="314"/>
      <c r="R570" s="184"/>
      <c r="S570" s="352"/>
    </row>
    <row r="571" ht="22.5" customHeight="1">
      <c r="C571" s="181"/>
      <c r="E571" s="73"/>
      <c r="F571" s="28"/>
      <c r="G571" s="182"/>
      <c r="H571" s="350"/>
      <c r="I571" s="183"/>
      <c r="N571" s="10"/>
      <c r="O571" s="351"/>
      <c r="P571" s="351"/>
      <c r="Q571" s="314"/>
      <c r="R571" s="184"/>
      <c r="S571" s="352"/>
    </row>
    <row r="572" ht="22.5" customHeight="1">
      <c r="C572" s="181"/>
      <c r="E572" s="73"/>
      <c r="F572" s="28"/>
      <c r="G572" s="182"/>
      <c r="H572" s="350"/>
      <c r="I572" s="183"/>
      <c r="N572" s="10"/>
      <c r="O572" s="351"/>
      <c r="P572" s="351"/>
      <c r="Q572" s="314"/>
      <c r="R572" s="184"/>
      <c r="S572" s="352"/>
    </row>
    <row r="573" ht="22.5" customHeight="1">
      <c r="C573" s="181"/>
      <c r="E573" s="73"/>
      <c r="F573" s="28"/>
      <c r="G573" s="182"/>
      <c r="H573" s="350"/>
      <c r="I573" s="183"/>
      <c r="N573" s="10"/>
      <c r="O573" s="351"/>
      <c r="P573" s="351"/>
      <c r="Q573" s="314"/>
      <c r="R573" s="184"/>
      <c r="S573" s="352"/>
    </row>
    <row r="574" ht="22.5" customHeight="1">
      <c r="C574" s="181"/>
      <c r="E574" s="73"/>
      <c r="F574" s="28"/>
      <c r="G574" s="182"/>
      <c r="H574" s="350"/>
      <c r="I574" s="183"/>
      <c r="N574" s="10"/>
      <c r="O574" s="351"/>
      <c r="P574" s="351"/>
      <c r="Q574" s="314"/>
      <c r="R574" s="184"/>
      <c r="S574" s="352"/>
    </row>
    <row r="575" ht="22.5" customHeight="1">
      <c r="C575" s="181"/>
      <c r="E575" s="73"/>
      <c r="F575" s="28"/>
      <c r="G575" s="182"/>
      <c r="H575" s="350"/>
      <c r="I575" s="183"/>
      <c r="N575" s="10"/>
      <c r="O575" s="351"/>
      <c r="P575" s="351"/>
      <c r="Q575" s="314"/>
      <c r="R575" s="184"/>
      <c r="S575" s="352"/>
    </row>
    <row r="576" ht="22.5" customHeight="1">
      <c r="C576" s="181"/>
      <c r="E576" s="73"/>
      <c r="F576" s="28"/>
      <c r="G576" s="182"/>
      <c r="H576" s="350"/>
      <c r="I576" s="183"/>
      <c r="N576" s="10"/>
      <c r="O576" s="351"/>
      <c r="P576" s="351"/>
      <c r="Q576" s="314"/>
      <c r="R576" s="184"/>
      <c r="S576" s="352"/>
    </row>
    <row r="577" ht="22.5" customHeight="1">
      <c r="C577" s="181"/>
      <c r="E577" s="73"/>
      <c r="F577" s="28"/>
      <c r="G577" s="182"/>
      <c r="H577" s="350"/>
      <c r="I577" s="183"/>
      <c r="N577" s="10"/>
      <c r="O577" s="351"/>
      <c r="P577" s="351"/>
      <c r="Q577" s="314"/>
      <c r="R577" s="184"/>
      <c r="S577" s="352"/>
    </row>
    <row r="578" ht="22.5" customHeight="1">
      <c r="C578" s="181"/>
      <c r="E578" s="73"/>
      <c r="F578" s="28"/>
      <c r="G578" s="182"/>
      <c r="H578" s="350"/>
      <c r="I578" s="183"/>
      <c r="N578" s="10"/>
      <c r="O578" s="351"/>
      <c r="P578" s="351"/>
      <c r="Q578" s="314"/>
      <c r="R578" s="184"/>
      <c r="S578" s="352"/>
    </row>
    <row r="579" ht="22.5" customHeight="1">
      <c r="C579" s="181"/>
      <c r="E579" s="73"/>
      <c r="F579" s="28"/>
      <c r="G579" s="182"/>
      <c r="H579" s="350"/>
      <c r="I579" s="183"/>
      <c r="N579" s="10"/>
      <c r="O579" s="351"/>
      <c r="P579" s="351"/>
      <c r="Q579" s="314"/>
      <c r="R579" s="184"/>
      <c r="S579" s="352"/>
    </row>
    <row r="580" ht="22.5" customHeight="1">
      <c r="C580" s="181"/>
      <c r="E580" s="73"/>
      <c r="F580" s="28"/>
      <c r="G580" s="182"/>
      <c r="H580" s="350"/>
      <c r="I580" s="183"/>
      <c r="N580" s="10"/>
      <c r="O580" s="351"/>
      <c r="P580" s="351"/>
      <c r="Q580" s="314"/>
      <c r="R580" s="184"/>
      <c r="S580" s="352"/>
    </row>
    <row r="581" ht="22.5" customHeight="1">
      <c r="C581" s="181"/>
      <c r="E581" s="73"/>
      <c r="F581" s="28"/>
      <c r="G581" s="182"/>
      <c r="H581" s="350"/>
      <c r="I581" s="183"/>
      <c r="N581" s="10"/>
      <c r="O581" s="351"/>
      <c r="P581" s="351"/>
      <c r="Q581" s="314"/>
      <c r="R581" s="184"/>
      <c r="S581" s="352"/>
    </row>
    <row r="582" ht="22.5" customHeight="1">
      <c r="C582" s="181"/>
      <c r="E582" s="73"/>
      <c r="F582" s="28"/>
      <c r="G582" s="182"/>
      <c r="H582" s="350"/>
      <c r="I582" s="183"/>
      <c r="N582" s="10"/>
      <c r="O582" s="351"/>
      <c r="P582" s="351"/>
      <c r="Q582" s="314"/>
      <c r="R582" s="184"/>
      <c r="S582" s="352"/>
    </row>
    <row r="583" ht="22.5" customHeight="1">
      <c r="C583" s="181"/>
      <c r="E583" s="73"/>
      <c r="F583" s="28"/>
      <c r="G583" s="182"/>
      <c r="H583" s="350"/>
      <c r="I583" s="183"/>
      <c r="N583" s="10"/>
      <c r="O583" s="351"/>
      <c r="P583" s="351"/>
      <c r="Q583" s="314"/>
      <c r="R583" s="184"/>
      <c r="S583" s="352"/>
    </row>
    <row r="584" ht="22.5" customHeight="1">
      <c r="C584" s="181"/>
      <c r="E584" s="73"/>
      <c r="F584" s="28"/>
      <c r="G584" s="182"/>
      <c r="H584" s="350"/>
      <c r="I584" s="183"/>
      <c r="N584" s="10"/>
      <c r="O584" s="351"/>
      <c r="P584" s="351"/>
      <c r="Q584" s="314"/>
      <c r="R584" s="184"/>
      <c r="S584" s="352"/>
    </row>
    <row r="585" ht="22.5" customHeight="1">
      <c r="C585" s="181"/>
      <c r="E585" s="73"/>
      <c r="F585" s="28"/>
      <c r="G585" s="182"/>
      <c r="H585" s="350"/>
      <c r="I585" s="183"/>
      <c r="N585" s="10"/>
      <c r="O585" s="351"/>
      <c r="P585" s="351"/>
      <c r="Q585" s="314"/>
      <c r="R585" s="184"/>
      <c r="S585" s="352"/>
    </row>
    <row r="586" ht="22.5" customHeight="1">
      <c r="C586" s="181"/>
      <c r="E586" s="73"/>
      <c r="F586" s="28"/>
      <c r="G586" s="182"/>
      <c r="H586" s="350"/>
      <c r="I586" s="183"/>
      <c r="N586" s="10"/>
      <c r="O586" s="351"/>
      <c r="P586" s="351"/>
      <c r="Q586" s="314"/>
      <c r="R586" s="184"/>
      <c r="S586" s="352"/>
    </row>
    <row r="587" ht="22.5" customHeight="1">
      <c r="C587" s="181"/>
      <c r="E587" s="73"/>
      <c r="F587" s="28"/>
      <c r="G587" s="182"/>
      <c r="H587" s="350"/>
      <c r="I587" s="183"/>
      <c r="N587" s="10"/>
      <c r="O587" s="351"/>
      <c r="P587" s="351"/>
      <c r="Q587" s="314"/>
      <c r="R587" s="184"/>
      <c r="S587" s="352"/>
    </row>
    <row r="588" ht="22.5" customHeight="1">
      <c r="C588" s="181"/>
      <c r="E588" s="73"/>
      <c r="F588" s="28"/>
      <c r="G588" s="182"/>
      <c r="H588" s="350"/>
      <c r="I588" s="183"/>
      <c r="N588" s="10"/>
      <c r="O588" s="351"/>
      <c r="P588" s="351"/>
      <c r="Q588" s="314"/>
      <c r="R588" s="184"/>
      <c r="S588" s="352"/>
    </row>
    <row r="589" ht="22.5" customHeight="1">
      <c r="C589" s="181"/>
      <c r="E589" s="73"/>
      <c r="F589" s="28"/>
      <c r="G589" s="182"/>
      <c r="H589" s="350"/>
      <c r="I589" s="183"/>
      <c r="N589" s="10"/>
      <c r="O589" s="351"/>
      <c r="P589" s="351"/>
      <c r="Q589" s="314"/>
      <c r="R589" s="184"/>
      <c r="S589" s="352"/>
    </row>
    <row r="590" ht="22.5" customHeight="1">
      <c r="C590" s="181"/>
      <c r="E590" s="73"/>
      <c r="F590" s="28"/>
      <c r="G590" s="182"/>
      <c r="H590" s="350"/>
      <c r="I590" s="183"/>
      <c r="N590" s="10"/>
      <c r="O590" s="351"/>
      <c r="P590" s="351"/>
      <c r="Q590" s="314"/>
      <c r="R590" s="184"/>
      <c r="S590" s="352"/>
    </row>
    <row r="591" ht="22.5" customHeight="1">
      <c r="C591" s="181"/>
      <c r="E591" s="73"/>
      <c r="F591" s="28"/>
      <c r="G591" s="182"/>
      <c r="H591" s="350"/>
      <c r="I591" s="183"/>
      <c r="N591" s="10"/>
      <c r="O591" s="351"/>
      <c r="P591" s="351"/>
      <c r="Q591" s="314"/>
      <c r="R591" s="184"/>
      <c r="S591" s="352"/>
    </row>
    <row r="592" ht="22.5" customHeight="1">
      <c r="C592" s="181"/>
      <c r="E592" s="73"/>
      <c r="F592" s="28"/>
      <c r="G592" s="182"/>
      <c r="H592" s="350"/>
      <c r="I592" s="183"/>
      <c r="N592" s="10"/>
      <c r="O592" s="351"/>
      <c r="P592" s="351"/>
      <c r="Q592" s="314"/>
      <c r="R592" s="184"/>
      <c r="S592" s="352"/>
    </row>
    <row r="593" ht="22.5" customHeight="1">
      <c r="C593" s="181"/>
      <c r="E593" s="73"/>
      <c r="F593" s="28"/>
      <c r="G593" s="182"/>
      <c r="H593" s="350"/>
      <c r="I593" s="183"/>
      <c r="N593" s="10"/>
      <c r="O593" s="351"/>
      <c r="P593" s="351"/>
      <c r="Q593" s="314"/>
      <c r="R593" s="184"/>
      <c r="S593" s="352"/>
    </row>
    <row r="594" ht="22.5" customHeight="1">
      <c r="C594" s="181"/>
      <c r="E594" s="73"/>
      <c r="F594" s="28"/>
      <c r="G594" s="182"/>
      <c r="H594" s="350"/>
      <c r="I594" s="183"/>
      <c r="N594" s="10"/>
      <c r="O594" s="351"/>
      <c r="P594" s="351"/>
      <c r="Q594" s="314"/>
      <c r="R594" s="184"/>
      <c r="S594" s="352"/>
    </row>
    <row r="595" ht="22.5" customHeight="1">
      <c r="C595" s="181"/>
      <c r="E595" s="73"/>
      <c r="F595" s="28"/>
      <c r="G595" s="182"/>
      <c r="H595" s="350"/>
      <c r="I595" s="183"/>
      <c r="N595" s="10"/>
      <c r="O595" s="351"/>
      <c r="P595" s="351"/>
      <c r="Q595" s="314"/>
      <c r="R595" s="184"/>
      <c r="S595" s="352"/>
    </row>
    <row r="596" ht="22.5" customHeight="1">
      <c r="C596" s="181"/>
      <c r="E596" s="73"/>
      <c r="F596" s="28"/>
      <c r="G596" s="182"/>
      <c r="H596" s="350"/>
      <c r="I596" s="183"/>
      <c r="N596" s="10"/>
      <c r="O596" s="351"/>
      <c r="P596" s="351"/>
      <c r="Q596" s="314"/>
      <c r="R596" s="184"/>
      <c r="S596" s="352"/>
    </row>
    <row r="597" ht="22.5" customHeight="1">
      <c r="C597" s="181"/>
      <c r="E597" s="73"/>
      <c r="F597" s="28"/>
      <c r="G597" s="182"/>
      <c r="H597" s="350"/>
      <c r="I597" s="183"/>
      <c r="N597" s="10"/>
      <c r="O597" s="351"/>
      <c r="P597" s="351"/>
      <c r="Q597" s="314"/>
      <c r="R597" s="184"/>
      <c r="S597" s="352"/>
    </row>
    <row r="598" ht="22.5" customHeight="1">
      <c r="C598" s="181"/>
      <c r="E598" s="73"/>
      <c r="F598" s="28"/>
      <c r="G598" s="182"/>
      <c r="H598" s="350"/>
      <c r="I598" s="183"/>
      <c r="N598" s="10"/>
      <c r="O598" s="351"/>
      <c r="P598" s="351"/>
      <c r="Q598" s="314"/>
      <c r="R598" s="184"/>
      <c r="S598" s="352"/>
    </row>
    <row r="599" ht="22.5" customHeight="1">
      <c r="C599" s="181"/>
      <c r="E599" s="73"/>
      <c r="F599" s="28"/>
      <c r="G599" s="182"/>
      <c r="H599" s="350"/>
      <c r="I599" s="183"/>
      <c r="N599" s="10"/>
      <c r="O599" s="351"/>
      <c r="P599" s="351"/>
      <c r="Q599" s="314"/>
      <c r="R599" s="184"/>
      <c r="S599" s="352"/>
    </row>
    <row r="600" ht="22.5" customHeight="1">
      <c r="C600" s="181"/>
      <c r="E600" s="73"/>
      <c r="F600" s="28"/>
      <c r="G600" s="182"/>
      <c r="H600" s="350"/>
      <c r="I600" s="183"/>
      <c r="N600" s="10"/>
      <c r="O600" s="351"/>
      <c r="P600" s="351"/>
      <c r="Q600" s="314"/>
      <c r="R600" s="184"/>
      <c r="S600" s="352"/>
    </row>
    <row r="601" ht="22.5" customHeight="1">
      <c r="C601" s="181"/>
      <c r="E601" s="73"/>
      <c r="F601" s="28"/>
      <c r="G601" s="182"/>
      <c r="H601" s="350"/>
      <c r="I601" s="183"/>
      <c r="N601" s="10"/>
      <c r="O601" s="351"/>
      <c r="P601" s="351"/>
      <c r="Q601" s="314"/>
      <c r="R601" s="184"/>
      <c r="S601" s="352"/>
    </row>
    <row r="602" ht="22.5" customHeight="1">
      <c r="C602" s="181"/>
      <c r="E602" s="73"/>
      <c r="F602" s="28"/>
      <c r="G602" s="182"/>
      <c r="H602" s="350"/>
      <c r="I602" s="183"/>
      <c r="N602" s="10"/>
      <c r="O602" s="351"/>
      <c r="P602" s="351"/>
      <c r="Q602" s="314"/>
      <c r="R602" s="184"/>
      <c r="S602" s="352"/>
    </row>
    <row r="603" ht="22.5" customHeight="1">
      <c r="C603" s="181"/>
      <c r="E603" s="73"/>
      <c r="F603" s="28"/>
      <c r="G603" s="182"/>
      <c r="H603" s="350"/>
      <c r="I603" s="183"/>
      <c r="N603" s="10"/>
      <c r="O603" s="351"/>
      <c r="P603" s="351"/>
      <c r="Q603" s="314"/>
      <c r="R603" s="184"/>
      <c r="S603" s="352"/>
    </row>
    <row r="604" ht="22.5" customHeight="1">
      <c r="C604" s="181"/>
      <c r="E604" s="73"/>
      <c r="F604" s="28"/>
      <c r="G604" s="182"/>
      <c r="H604" s="350"/>
      <c r="I604" s="183"/>
      <c r="N604" s="10"/>
      <c r="O604" s="351"/>
      <c r="P604" s="351"/>
      <c r="Q604" s="314"/>
      <c r="R604" s="184"/>
      <c r="S604" s="352"/>
    </row>
    <row r="605" ht="22.5" customHeight="1">
      <c r="C605" s="181"/>
      <c r="E605" s="73"/>
      <c r="F605" s="28"/>
      <c r="G605" s="182"/>
      <c r="H605" s="350"/>
      <c r="I605" s="183"/>
      <c r="N605" s="10"/>
      <c r="O605" s="351"/>
      <c r="P605" s="351"/>
      <c r="Q605" s="314"/>
      <c r="R605" s="184"/>
      <c r="S605" s="352"/>
    </row>
    <row r="606" ht="22.5" customHeight="1">
      <c r="C606" s="181"/>
      <c r="E606" s="73"/>
      <c r="F606" s="28"/>
      <c r="G606" s="182"/>
      <c r="H606" s="350"/>
      <c r="I606" s="183"/>
      <c r="N606" s="10"/>
      <c r="O606" s="351"/>
      <c r="P606" s="351"/>
      <c r="Q606" s="314"/>
      <c r="R606" s="184"/>
      <c r="S606" s="352"/>
    </row>
    <row r="607" ht="22.5" customHeight="1">
      <c r="C607" s="181"/>
      <c r="E607" s="73"/>
      <c r="F607" s="28"/>
      <c r="G607" s="182"/>
      <c r="H607" s="350"/>
      <c r="I607" s="183"/>
      <c r="N607" s="10"/>
      <c r="O607" s="351"/>
      <c r="P607" s="351"/>
      <c r="Q607" s="314"/>
      <c r="R607" s="184"/>
      <c r="S607" s="352"/>
    </row>
    <row r="608" ht="22.5" customHeight="1">
      <c r="C608" s="181"/>
      <c r="E608" s="73"/>
      <c r="F608" s="28"/>
      <c r="G608" s="182"/>
      <c r="H608" s="350"/>
      <c r="I608" s="183"/>
      <c r="N608" s="10"/>
      <c r="O608" s="351"/>
      <c r="P608" s="351"/>
      <c r="Q608" s="314"/>
      <c r="R608" s="184"/>
      <c r="S608" s="352"/>
    </row>
    <row r="609" ht="22.5" customHeight="1">
      <c r="C609" s="181"/>
      <c r="E609" s="73"/>
      <c r="F609" s="28"/>
      <c r="G609" s="182"/>
      <c r="H609" s="350"/>
      <c r="I609" s="183"/>
      <c r="N609" s="10"/>
      <c r="O609" s="351"/>
      <c r="P609" s="351"/>
      <c r="Q609" s="314"/>
      <c r="R609" s="184"/>
      <c r="S609" s="352"/>
    </row>
    <row r="610" ht="22.5" customHeight="1">
      <c r="C610" s="181"/>
      <c r="E610" s="73"/>
      <c r="F610" s="28"/>
      <c r="G610" s="182"/>
      <c r="H610" s="350"/>
      <c r="I610" s="183"/>
      <c r="N610" s="10"/>
      <c r="O610" s="351"/>
      <c r="P610" s="351"/>
      <c r="Q610" s="314"/>
      <c r="R610" s="184"/>
      <c r="S610" s="352"/>
    </row>
    <row r="611" ht="22.5" customHeight="1">
      <c r="C611" s="181"/>
      <c r="E611" s="73"/>
      <c r="F611" s="28"/>
      <c r="G611" s="182"/>
      <c r="H611" s="350"/>
      <c r="I611" s="183"/>
      <c r="N611" s="10"/>
      <c r="O611" s="351"/>
      <c r="P611" s="351"/>
      <c r="Q611" s="314"/>
      <c r="R611" s="184"/>
      <c r="S611" s="352"/>
    </row>
    <row r="612" ht="22.5" customHeight="1">
      <c r="C612" s="181"/>
      <c r="E612" s="73"/>
      <c r="F612" s="28"/>
      <c r="G612" s="182"/>
      <c r="H612" s="350"/>
      <c r="I612" s="183"/>
      <c r="N612" s="10"/>
      <c r="O612" s="351"/>
      <c r="P612" s="351"/>
      <c r="Q612" s="314"/>
      <c r="R612" s="184"/>
      <c r="S612" s="352"/>
    </row>
    <row r="613" ht="22.5" customHeight="1">
      <c r="C613" s="181"/>
      <c r="E613" s="73"/>
      <c r="F613" s="28"/>
      <c r="G613" s="182"/>
      <c r="H613" s="350"/>
      <c r="I613" s="183"/>
      <c r="N613" s="10"/>
      <c r="O613" s="351"/>
      <c r="P613" s="351"/>
      <c r="Q613" s="314"/>
      <c r="R613" s="184"/>
      <c r="S613" s="352"/>
    </row>
    <row r="614" ht="22.5" customHeight="1">
      <c r="C614" s="181"/>
      <c r="E614" s="73"/>
      <c r="F614" s="28"/>
      <c r="G614" s="182"/>
      <c r="H614" s="350"/>
      <c r="I614" s="183"/>
      <c r="N614" s="10"/>
      <c r="O614" s="351"/>
      <c r="P614" s="351"/>
      <c r="Q614" s="314"/>
      <c r="R614" s="184"/>
      <c r="S614" s="352"/>
    </row>
    <row r="615" ht="22.5" customHeight="1">
      <c r="C615" s="181"/>
      <c r="E615" s="73"/>
      <c r="F615" s="28"/>
      <c r="G615" s="182"/>
      <c r="H615" s="350"/>
      <c r="I615" s="183"/>
      <c r="N615" s="10"/>
      <c r="O615" s="351"/>
      <c r="P615" s="351"/>
      <c r="Q615" s="314"/>
      <c r="R615" s="184"/>
      <c r="S615" s="352"/>
    </row>
    <row r="616" ht="22.5" customHeight="1">
      <c r="C616" s="181"/>
      <c r="E616" s="73"/>
      <c r="F616" s="28"/>
      <c r="G616" s="182"/>
      <c r="H616" s="350"/>
      <c r="I616" s="183"/>
      <c r="N616" s="10"/>
      <c r="O616" s="351"/>
      <c r="P616" s="351"/>
      <c r="Q616" s="314"/>
      <c r="R616" s="184"/>
      <c r="S616" s="352"/>
    </row>
    <row r="617" ht="22.5" customHeight="1">
      <c r="C617" s="181"/>
      <c r="E617" s="73"/>
      <c r="F617" s="28"/>
      <c r="G617" s="182"/>
      <c r="H617" s="350"/>
      <c r="I617" s="183"/>
      <c r="N617" s="10"/>
      <c r="O617" s="351"/>
      <c r="P617" s="351"/>
      <c r="Q617" s="314"/>
      <c r="R617" s="184"/>
      <c r="S617" s="352"/>
    </row>
    <row r="618" ht="22.5" customHeight="1">
      <c r="C618" s="181"/>
      <c r="E618" s="73"/>
      <c r="F618" s="28"/>
      <c r="G618" s="182"/>
      <c r="H618" s="350"/>
      <c r="I618" s="183"/>
      <c r="N618" s="10"/>
      <c r="O618" s="351"/>
      <c r="P618" s="351"/>
      <c r="Q618" s="314"/>
      <c r="R618" s="184"/>
      <c r="S618" s="352"/>
    </row>
    <row r="619" ht="22.5" customHeight="1">
      <c r="C619" s="181"/>
      <c r="E619" s="73"/>
      <c r="F619" s="28"/>
      <c r="G619" s="182"/>
      <c r="H619" s="350"/>
      <c r="I619" s="183"/>
      <c r="N619" s="10"/>
      <c r="O619" s="351"/>
      <c r="P619" s="351"/>
      <c r="Q619" s="314"/>
      <c r="R619" s="184"/>
      <c r="S619" s="352"/>
    </row>
    <row r="620" ht="22.5" customHeight="1">
      <c r="C620" s="181"/>
      <c r="E620" s="73"/>
      <c r="F620" s="28"/>
      <c r="G620" s="182"/>
      <c r="H620" s="350"/>
      <c r="I620" s="183"/>
      <c r="N620" s="10"/>
      <c r="O620" s="351"/>
      <c r="P620" s="351"/>
      <c r="Q620" s="314"/>
      <c r="R620" s="184"/>
      <c r="S620" s="352"/>
    </row>
    <row r="621" ht="22.5" customHeight="1">
      <c r="C621" s="181"/>
      <c r="E621" s="73"/>
      <c r="F621" s="28"/>
      <c r="G621" s="182"/>
      <c r="H621" s="350"/>
      <c r="I621" s="183"/>
      <c r="N621" s="10"/>
      <c r="O621" s="351"/>
      <c r="P621" s="351"/>
      <c r="Q621" s="314"/>
      <c r="R621" s="184"/>
      <c r="S621" s="352"/>
    </row>
    <row r="622" ht="22.5" customHeight="1">
      <c r="C622" s="181"/>
      <c r="E622" s="73"/>
      <c r="F622" s="28"/>
      <c r="G622" s="182"/>
      <c r="H622" s="350"/>
      <c r="I622" s="183"/>
      <c r="N622" s="10"/>
      <c r="O622" s="351"/>
      <c r="P622" s="351"/>
      <c r="Q622" s="314"/>
      <c r="R622" s="184"/>
      <c r="S622" s="352"/>
    </row>
    <row r="623" ht="22.5" customHeight="1">
      <c r="C623" s="181"/>
      <c r="E623" s="73"/>
      <c r="F623" s="28"/>
      <c r="G623" s="182"/>
      <c r="H623" s="350"/>
      <c r="I623" s="183"/>
      <c r="N623" s="10"/>
      <c r="O623" s="351"/>
      <c r="P623" s="351"/>
      <c r="Q623" s="314"/>
      <c r="R623" s="184"/>
      <c r="S623" s="352"/>
    </row>
    <row r="624" ht="22.5" customHeight="1">
      <c r="C624" s="181"/>
      <c r="E624" s="73"/>
      <c r="F624" s="28"/>
      <c r="G624" s="182"/>
      <c r="H624" s="350"/>
      <c r="I624" s="183"/>
      <c r="N624" s="10"/>
      <c r="O624" s="351"/>
      <c r="P624" s="351"/>
      <c r="Q624" s="314"/>
      <c r="R624" s="184"/>
      <c r="S624" s="352"/>
    </row>
    <row r="625" ht="22.5" customHeight="1">
      <c r="C625" s="181"/>
      <c r="E625" s="73"/>
      <c r="F625" s="28"/>
      <c r="G625" s="182"/>
      <c r="H625" s="350"/>
      <c r="I625" s="183"/>
      <c r="N625" s="10"/>
      <c r="O625" s="351"/>
      <c r="P625" s="351"/>
      <c r="Q625" s="314"/>
      <c r="R625" s="184"/>
      <c r="S625" s="352"/>
    </row>
    <row r="626" ht="22.5" customHeight="1">
      <c r="C626" s="181"/>
      <c r="E626" s="73"/>
      <c r="F626" s="28"/>
      <c r="G626" s="182"/>
      <c r="H626" s="350"/>
      <c r="I626" s="183"/>
      <c r="N626" s="10"/>
      <c r="O626" s="351"/>
      <c r="P626" s="351"/>
      <c r="Q626" s="314"/>
      <c r="R626" s="184"/>
      <c r="S626" s="352"/>
    </row>
    <row r="627" ht="22.5" customHeight="1">
      <c r="C627" s="181"/>
      <c r="E627" s="73"/>
      <c r="F627" s="28"/>
      <c r="G627" s="182"/>
      <c r="H627" s="350"/>
      <c r="I627" s="183"/>
      <c r="N627" s="10"/>
      <c r="O627" s="351"/>
      <c r="P627" s="351"/>
      <c r="Q627" s="314"/>
      <c r="R627" s="184"/>
      <c r="S627" s="352"/>
    </row>
    <row r="628" ht="22.5" customHeight="1">
      <c r="C628" s="181"/>
      <c r="E628" s="73"/>
      <c r="F628" s="28"/>
      <c r="G628" s="182"/>
      <c r="H628" s="350"/>
      <c r="I628" s="183"/>
      <c r="N628" s="10"/>
      <c r="O628" s="351"/>
      <c r="P628" s="351"/>
      <c r="Q628" s="314"/>
      <c r="R628" s="184"/>
      <c r="S628" s="352"/>
    </row>
    <row r="629" ht="22.5" customHeight="1">
      <c r="C629" s="181"/>
      <c r="E629" s="73"/>
      <c r="F629" s="28"/>
      <c r="G629" s="182"/>
      <c r="H629" s="350"/>
      <c r="I629" s="183"/>
      <c r="N629" s="10"/>
      <c r="O629" s="351"/>
      <c r="P629" s="351"/>
      <c r="Q629" s="314"/>
      <c r="R629" s="184"/>
      <c r="S629" s="352"/>
    </row>
    <row r="630" ht="22.5" customHeight="1">
      <c r="C630" s="181"/>
      <c r="E630" s="73"/>
      <c r="F630" s="28"/>
      <c r="G630" s="182"/>
      <c r="H630" s="350"/>
      <c r="I630" s="183"/>
      <c r="N630" s="10"/>
      <c r="O630" s="351"/>
      <c r="P630" s="351"/>
      <c r="Q630" s="314"/>
      <c r="R630" s="184"/>
      <c r="S630" s="352"/>
    </row>
    <row r="631" ht="22.5" customHeight="1">
      <c r="C631" s="181"/>
      <c r="E631" s="73"/>
      <c r="F631" s="28"/>
      <c r="G631" s="182"/>
      <c r="H631" s="350"/>
      <c r="I631" s="183"/>
      <c r="N631" s="10"/>
      <c r="O631" s="351"/>
      <c r="P631" s="351"/>
      <c r="Q631" s="314"/>
      <c r="R631" s="184"/>
      <c r="S631" s="352"/>
    </row>
    <row r="632" ht="22.5" customHeight="1">
      <c r="C632" s="181"/>
      <c r="E632" s="73"/>
      <c r="F632" s="28"/>
      <c r="G632" s="182"/>
      <c r="H632" s="350"/>
      <c r="I632" s="183"/>
      <c r="N632" s="10"/>
      <c r="O632" s="351"/>
      <c r="P632" s="351"/>
      <c r="Q632" s="314"/>
      <c r="R632" s="184"/>
      <c r="S632" s="352"/>
    </row>
    <row r="633" ht="22.5" customHeight="1">
      <c r="C633" s="181"/>
      <c r="E633" s="73"/>
      <c r="F633" s="28"/>
      <c r="G633" s="182"/>
      <c r="H633" s="350"/>
      <c r="I633" s="183"/>
      <c r="N633" s="10"/>
      <c r="O633" s="351"/>
      <c r="P633" s="351"/>
      <c r="Q633" s="314"/>
      <c r="R633" s="184"/>
      <c r="S633" s="352"/>
    </row>
    <row r="634" ht="22.5" customHeight="1">
      <c r="C634" s="181"/>
      <c r="E634" s="73"/>
      <c r="F634" s="28"/>
      <c r="G634" s="182"/>
      <c r="H634" s="350"/>
      <c r="I634" s="183"/>
      <c r="N634" s="10"/>
      <c r="O634" s="351"/>
      <c r="P634" s="351"/>
      <c r="Q634" s="314"/>
      <c r="R634" s="184"/>
      <c r="S634" s="352"/>
    </row>
    <row r="635" ht="22.5" customHeight="1">
      <c r="C635" s="181"/>
      <c r="E635" s="73"/>
      <c r="F635" s="28"/>
      <c r="G635" s="182"/>
      <c r="H635" s="350"/>
      <c r="I635" s="183"/>
      <c r="N635" s="10"/>
      <c r="O635" s="351"/>
      <c r="P635" s="351"/>
      <c r="Q635" s="314"/>
      <c r="R635" s="184"/>
      <c r="S635" s="352"/>
    </row>
    <row r="636" ht="22.5" customHeight="1">
      <c r="C636" s="181"/>
      <c r="E636" s="73"/>
      <c r="F636" s="28"/>
      <c r="G636" s="182"/>
      <c r="H636" s="350"/>
      <c r="I636" s="183"/>
      <c r="N636" s="10"/>
      <c r="O636" s="351"/>
      <c r="P636" s="351"/>
      <c r="Q636" s="314"/>
      <c r="R636" s="184"/>
      <c r="S636" s="352"/>
    </row>
    <row r="637" ht="22.5" customHeight="1">
      <c r="C637" s="181"/>
      <c r="E637" s="73"/>
      <c r="F637" s="28"/>
      <c r="G637" s="182"/>
      <c r="H637" s="350"/>
      <c r="I637" s="183"/>
      <c r="N637" s="10"/>
      <c r="O637" s="351"/>
      <c r="P637" s="351"/>
      <c r="Q637" s="314"/>
      <c r="R637" s="184"/>
      <c r="S637" s="352"/>
    </row>
    <row r="638" ht="22.5" customHeight="1">
      <c r="C638" s="181"/>
      <c r="E638" s="73"/>
      <c r="F638" s="28"/>
      <c r="G638" s="182"/>
      <c r="H638" s="350"/>
      <c r="I638" s="183"/>
      <c r="N638" s="10"/>
      <c r="O638" s="351"/>
      <c r="P638" s="351"/>
      <c r="Q638" s="314"/>
      <c r="R638" s="184"/>
      <c r="S638" s="352"/>
    </row>
    <row r="639" ht="22.5" customHeight="1">
      <c r="C639" s="181"/>
      <c r="E639" s="73"/>
      <c r="F639" s="28"/>
      <c r="G639" s="182"/>
      <c r="H639" s="350"/>
      <c r="I639" s="183"/>
      <c r="N639" s="10"/>
      <c r="O639" s="351"/>
      <c r="P639" s="351"/>
      <c r="Q639" s="314"/>
      <c r="R639" s="184"/>
      <c r="S639" s="352"/>
    </row>
    <row r="640" ht="22.5" customHeight="1">
      <c r="C640" s="181"/>
      <c r="E640" s="73"/>
      <c r="F640" s="28"/>
      <c r="G640" s="182"/>
      <c r="H640" s="350"/>
      <c r="I640" s="183"/>
      <c r="N640" s="10"/>
      <c r="O640" s="351"/>
      <c r="P640" s="351"/>
      <c r="Q640" s="314"/>
      <c r="R640" s="184"/>
      <c r="S640" s="352"/>
    </row>
    <row r="641" ht="22.5" customHeight="1">
      <c r="C641" s="181"/>
      <c r="E641" s="73"/>
      <c r="F641" s="28"/>
      <c r="G641" s="182"/>
      <c r="H641" s="350"/>
      <c r="I641" s="183"/>
      <c r="N641" s="10"/>
      <c r="O641" s="351"/>
      <c r="P641" s="351"/>
      <c r="Q641" s="314"/>
      <c r="R641" s="184"/>
      <c r="S641" s="352"/>
    </row>
    <row r="642" ht="22.5" customHeight="1">
      <c r="C642" s="181"/>
      <c r="E642" s="73"/>
      <c r="F642" s="28"/>
      <c r="G642" s="182"/>
      <c r="H642" s="350"/>
      <c r="I642" s="183"/>
      <c r="N642" s="10"/>
      <c r="O642" s="351"/>
      <c r="P642" s="351"/>
      <c r="Q642" s="314"/>
      <c r="R642" s="184"/>
      <c r="S642" s="352"/>
    </row>
    <row r="643" ht="22.5" customHeight="1">
      <c r="C643" s="181"/>
      <c r="E643" s="73"/>
      <c r="F643" s="28"/>
      <c r="G643" s="182"/>
      <c r="H643" s="350"/>
      <c r="I643" s="183"/>
      <c r="N643" s="10"/>
      <c r="O643" s="351"/>
      <c r="P643" s="351"/>
      <c r="Q643" s="314"/>
      <c r="R643" s="184"/>
      <c r="S643" s="352"/>
    </row>
    <row r="644" ht="22.5" customHeight="1">
      <c r="C644" s="181"/>
      <c r="E644" s="73"/>
      <c r="F644" s="28"/>
      <c r="G644" s="182"/>
      <c r="H644" s="350"/>
      <c r="I644" s="183"/>
      <c r="N644" s="10"/>
      <c r="O644" s="351"/>
      <c r="P644" s="351"/>
      <c r="Q644" s="314"/>
      <c r="R644" s="184"/>
      <c r="S644" s="352"/>
    </row>
    <row r="645" ht="22.5" customHeight="1">
      <c r="C645" s="181"/>
      <c r="E645" s="73"/>
      <c r="F645" s="28"/>
      <c r="G645" s="182"/>
      <c r="H645" s="350"/>
      <c r="I645" s="183"/>
      <c r="N645" s="10"/>
      <c r="O645" s="351"/>
      <c r="P645" s="351"/>
      <c r="Q645" s="314"/>
      <c r="R645" s="184"/>
      <c r="S645" s="352"/>
    </row>
    <row r="646" ht="22.5" customHeight="1">
      <c r="C646" s="181"/>
      <c r="E646" s="73"/>
      <c r="F646" s="28"/>
      <c r="G646" s="182"/>
      <c r="H646" s="350"/>
      <c r="I646" s="183"/>
      <c r="N646" s="10"/>
      <c r="O646" s="351"/>
      <c r="P646" s="351"/>
      <c r="Q646" s="314"/>
      <c r="R646" s="184"/>
      <c r="S646" s="352"/>
    </row>
    <row r="647" ht="22.5" customHeight="1">
      <c r="C647" s="181"/>
      <c r="E647" s="73"/>
      <c r="F647" s="28"/>
      <c r="G647" s="182"/>
      <c r="H647" s="350"/>
      <c r="I647" s="183"/>
      <c r="N647" s="10"/>
      <c r="O647" s="351"/>
      <c r="P647" s="351"/>
      <c r="Q647" s="314"/>
      <c r="R647" s="184"/>
      <c r="S647" s="352"/>
    </row>
    <row r="648" ht="22.5" customHeight="1">
      <c r="C648" s="181"/>
      <c r="E648" s="73"/>
      <c r="F648" s="28"/>
      <c r="G648" s="182"/>
      <c r="H648" s="350"/>
      <c r="I648" s="183"/>
      <c r="N648" s="10"/>
      <c r="O648" s="351"/>
      <c r="P648" s="351"/>
      <c r="Q648" s="314"/>
      <c r="R648" s="184"/>
      <c r="S648" s="352"/>
    </row>
    <row r="649" ht="22.5" customHeight="1">
      <c r="C649" s="181"/>
      <c r="E649" s="73"/>
      <c r="F649" s="28"/>
      <c r="G649" s="182"/>
      <c r="H649" s="350"/>
      <c r="I649" s="183"/>
      <c r="N649" s="10"/>
      <c r="O649" s="351"/>
      <c r="P649" s="351"/>
      <c r="Q649" s="314"/>
      <c r="R649" s="184"/>
      <c r="S649" s="352"/>
    </row>
    <row r="650" ht="22.5" customHeight="1">
      <c r="C650" s="181"/>
      <c r="E650" s="73"/>
      <c r="F650" s="28"/>
      <c r="G650" s="182"/>
      <c r="H650" s="350"/>
      <c r="I650" s="183"/>
      <c r="N650" s="10"/>
      <c r="O650" s="351"/>
      <c r="P650" s="351"/>
      <c r="Q650" s="314"/>
      <c r="R650" s="184"/>
      <c r="S650" s="352"/>
    </row>
    <row r="651" ht="22.5" customHeight="1">
      <c r="C651" s="181"/>
      <c r="E651" s="73"/>
      <c r="F651" s="28"/>
      <c r="G651" s="182"/>
      <c r="H651" s="350"/>
      <c r="I651" s="183"/>
      <c r="N651" s="10"/>
      <c r="O651" s="351"/>
      <c r="P651" s="351"/>
      <c r="Q651" s="314"/>
      <c r="R651" s="184"/>
      <c r="S651" s="352"/>
    </row>
    <row r="652" ht="22.5" customHeight="1">
      <c r="C652" s="181"/>
      <c r="E652" s="73"/>
      <c r="F652" s="28"/>
      <c r="G652" s="182"/>
      <c r="H652" s="350"/>
      <c r="I652" s="183"/>
      <c r="N652" s="10"/>
      <c r="O652" s="351"/>
      <c r="P652" s="351"/>
      <c r="Q652" s="314"/>
      <c r="R652" s="184"/>
      <c r="S652" s="352"/>
    </row>
    <row r="653" ht="22.5" customHeight="1">
      <c r="C653" s="181"/>
      <c r="E653" s="73"/>
      <c r="F653" s="28"/>
      <c r="G653" s="182"/>
      <c r="H653" s="350"/>
      <c r="I653" s="183"/>
      <c r="N653" s="10"/>
      <c r="O653" s="351"/>
      <c r="P653" s="351"/>
      <c r="Q653" s="314"/>
      <c r="R653" s="184"/>
      <c r="S653" s="352"/>
    </row>
    <row r="654" ht="22.5" customHeight="1">
      <c r="C654" s="181"/>
      <c r="E654" s="73"/>
      <c r="F654" s="28"/>
      <c r="G654" s="182"/>
      <c r="H654" s="350"/>
      <c r="I654" s="183"/>
      <c r="N654" s="10"/>
      <c r="O654" s="351"/>
      <c r="P654" s="351"/>
      <c r="Q654" s="314"/>
      <c r="R654" s="184"/>
      <c r="S654" s="352"/>
    </row>
    <row r="655" ht="22.5" customHeight="1">
      <c r="C655" s="181"/>
      <c r="E655" s="73"/>
      <c r="F655" s="28"/>
      <c r="G655" s="182"/>
      <c r="H655" s="350"/>
      <c r="I655" s="183"/>
      <c r="N655" s="10"/>
      <c r="O655" s="351"/>
      <c r="P655" s="351"/>
      <c r="Q655" s="314"/>
      <c r="R655" s="184"/>
      <c r="S655" s="352"/>
    </row>
    <row r="656" ht="22.5" customHeight="1">
      <c r="C656" s="181"/>
      <c r="E656" s="73"/>
      <c r="F656" s="28"/>
      <c r="G656" s="182"/>
      <c r="H656" s="350"/>
      <c r="I656" s="183"/>
      <c r="N656" s="10"/>
      <c r="O656" s="351"/>
      <c r="P656" s="351"/>
      <c r="Q656" s="314"/>
      <c r="R656" s="184"/>
      <c r="S656" s="352"/>
    </row>
    <row r="657" ht="22.5" customHeight="1">
      <c r="C657" s="181"/>
      <c r="E657" s="73"/>
      <c r="F657" s="28"/>
      <c r="G657" s="182"/>
      <c r="H657" s="350"/>
      <c r="I657" s="183"/>
      <c r="N657" s="10"/>
      <c r="O657" s="351"/>
      <c r="P657" s="351"/>
      <c r="Q657" s="314"/>
      <c r="R657" s="184"/>
      <c r="S657" s="352"/>
    </row>
    <row r="658" ht="22.5" customHeight="1">
      <c r="C658" s="181"/>
      <c r="E658" s="73"/>
      <c r="F658" s="28"/>
      <c r="G658" s="182"/>
      <c r="H658" s="350"/>
      <c r="I658" s="183"/>
      <c r="N658" s="10"/>
      <c r="O658" s="351"/>
      <c r="P658" s="351"/>
      <c r="Q658" s="314"/>
      <c r="R658" s="184"/>
      <c r="S658" s="352"/>
    </row>
    <row r="659" ht="22.5" customHeight="1">
      <c r="C659" s="181"/>
      <c r="E659" s="73"/>
      <c r="F659" s="28"/>
      <c r="G659" s="182"/>
      <c r="H659" s="350"/>
      <c r="I659" s="183"/>
      <c r="N659" s="10"/>
      <c r="O659" s="351"/>
      <c r="P659" s="351"/>
      <c r="Q659" s="314"/>
      <c r="R659" s="184"/>
      <c r="S659" s="352"/>
    </row>
    <row r="660" ht="22.5" customHeight="1">
      <c r="C660" s="181"/>
      <c r="E660" s="73"/>
      <c r="F660" s="28"/>
      <c r="G660" s="182"/>
      <c r="H660" s="350"/>
      <c r="I660" s="183"/>
      <c r="N660" s="10"/>
      <c r="O660" s="351"/>
      <c r="P660" s="351"/>
      <c r="Q660" s="314"/>
      <c r="R660" s="184"/>
      <c r="S660" s="352"/>
    </row>
    <row r="661" ht="22.5" customHeight="1">
      <c r="C661" s="181"/>
      <c r="E661" s="73"/>
      <c r="F661" s="28"/>
      <c r="G661" s="182"/>
      <c r="H661" s="350"/>
      <c r="I661" s="183"/>
      <c r="N661" s="10"/>
      <c r="O661" s="351"/>
      <c r="P661" s="351"/>
      <c r="Q661" s="314"/>
      <c r="R661" s="184"/>
      <c r="S661" s="352"/>
    </row>
    <row r="662" ht="22.5" customHeight="1">
      <c r="C662" s="181"/>
      <c r="E662" s="73"/>
      <c r="F662" s="28"/>
      <c r="G662" s="182"/>
      <c r="H662" s="350"/>
      <c r="I662" s="183"/>
      <c r="N662" s="10"/>
      <c r="O662" s="351"/>
      <c r="P662" s="351"/>
      <c r="Q662" s="314"/>
      <c r="R662" s="184"/>
      <c r="S662" s="352"/>
    </row>
    <row r="663" ht="22.5" customHeight="1">
      <c r="C663" s="181"/>
      <c r="E663" s="73"/>
      <c r="F663" s="28"/>
      <c r="G663" s="182"/>
      <c r="H663" s="350"/>
      <c r="I663" s="183"/>
      <c r="N663" s="10"/>
      <c r="O663" s="351"/>
      <c r="P663" s="351"/>
      <c r="Q663" s="314"/>
      <c r="R663" s="184"/>
      <c r="S663" s="352"/>
    </row>
    <row r="664" ht="22.5" customHeight="1">
      <c r="C664" s="181"/>
      <c r="E664" s="73"/>
      <c r="F664" s="28"/>
      <c r="G664" s="182"/>
      <c r="H664" s="350"/>
      <c r="I664" s="183"/>
      <c r="N664" s="10"/>
      <c r="O664" s="351"/>
      <c r="P664" s="351"/>
      <c r="Q664" s="314"/>
      <c r="R664" s="184"/>
      <c r="S664" s="352"/>
    </row>
    <row r="665" ht="22.5" customHeight="1">
      <c r="C665" s="181"/>
      <c r="E665" s="73"/>
      <c r="F665" s="28"/>
      <c r="G665" s="182"/>
      <c r="H665" s="350"/>
      <c r="I665" s="183"/>
      <c r="N665" s="10"/>
      <c r="O665" s="351"/>
      <c r="P665" s="351"/>
      <c r="Q665" s="314"/>
      <c r="R665" s="184"/>
      <c r="S665" s="352"/>
    </row>
    <row r="666" ht="22.5" customHeight="1">
      <c r="C666" s="181"/>
      <c r="E666" s="73"/>
      <c r="F666" s="28"/>
      <c r="G666" s="182"/>
      <c r="H666" s="350"/>
      <c r="I666" s="183"/>
      <c r="N666" s="10"/>
      <c r="O666" s="351"/>
      <c r="P666" s="351"/>
      <c r="Q666" s="314"/>
      <c r="R666" s="184"/>
      <c r="S666" s="352"/>
    </row>
    <row r="667" ht="22.5" customHeight="1">
      <c r="C667" s="181"/>
      <c r="E667" s="73"/>
      <c r="F667" s="28"/>
      <c r="G667" s="182"/>
      <c r="H667" s="350"/>
      <c r="I667" s="183"/>
      <c r="N667" s="10"/>
      <c r="O667" s="351"/>
      <c r="P667" s="351"/>
      <c r="Q667" s="314"/>
      <c r="R667" s="184"/>
      <c r="S667" s="352"/>
    </row>
    <row r="668" ht="22.5" customHeight="1">
      <c r="C668" s="181"/>
      <c r="E668" s="73"/>
      <c r="F668" s="28"/>
      <c r="G668" s="182"/>
      <c r="H668" s="350"/>
      <c r="I668" s="183"/>
      <c r="N668" s="10"/>
      <c r="O668" s="351"/>
      <c r="P668" s="351"/>
      <c r="Q668" s="314"/>
      <c r="R668" s="184"/>
      <c r="S668" s="352"/>
    </row>
    <row r="669" ht="22.5" customHeight="1">
      <c r="C669" s="181"/>
      <c r="E669" s="73"/>
      <c r="F669" s="28"/>
      <c r="G669" s="182"/>
      <c r="H669" s="350"/>
      <c r="I669" s="183"/>
      <c r="N669" s="10"/>
      <c r="O669" s="351"/>
      <c r="P669" s="351"/>
      <c r="Q669" s="314"/>
      <c r="R669" s="184"/>
      <c r="S669" s="352"/>
    </row>
    <row r="670" ht="22.5" customHeight="1">
      <c r="C670" s="181"/>
      <c r="E670" s="73"/>
      <c r="F670" s="28"/>
      <c r="G670" s="182"/>
      <c r="H670" s="350"/>
      <c r="I670" s="183"/>
      <c r="N670" s="10"/>
      <c r="O670" s="351"/>
      <c r="P670" s="351"/>
      <c r="Q670" s="314"/>
      <c r="R670" s="184"/>
      <c r="S670" s="352"/>
    </row>
    <row r="671" ht="22.5" customHeight="1">
      <c r="C671" s="181"/>
      <c r="E671" s="73"/>
      <c r="F671" s="28"/>
      <c r="G671" s="182"/>
      <c r="H671" s="350"/>
      <c r="I671" s="183"/>
      <c r="N671" s="10"/>
      <c r="O671" s="351"/>
      <c r="P671" s="351"/>
      <c r="Q671" s="314"/>
      <c r="R671" s="184"/>
      <c r="S671" s="352"/>
    </row>
    <row r="672" ht="22.5" customHeight="1">
      <c r="C672" s="181"/>
      <c r="E672" s="73"/>
      <c r="F672" s="28"/>
      <c r="G672" s="182"/>
      <c r="H672" s="350"/>
      <c r="I672" s="183"/>
      <c r="N672" s="10"/>
      <c r="O672" s="351"/>
      <c r="P672" s="351"/>
      <c r="Q672" s="314"/>
      <c r="R672" s="184"/>
      <c r="S672" s="352"/>
    </row>
    <row r="673" ht="22.5" customHeight="1">
      <c r="C673" s="181"/>
      <c r="E673" s="73"/>
      <c r="F673" s="28"/>
      <c r="G673" s="182"/>
      <c r="H673" s="350"/>
      <c r="I673" s="183"/>
      <c r="N673" s="10"/>
      <c r="O673" s="351"/>
      <c r="P673" s="351"/>
      <c r="Q673" s="314"/>
      <c r="R673" s="184"/>
      <c r="S673" s="352"/>
    </row>
    <row r="674" ht="22.5" customHeight="1">
      <c r="C674" s="181"/>
      <c r="E674" s="73"/>
      <c r="F674" s="28"/>
      <c r="G674" s="182"/>
      <c r="H674" s="350"/>
      <c r="I674" s="183"/>
      <c r="N674" s="10"/>
      <c r="O674" s="351"/>
      <c r="P674" s="351"/>
      <c r="Q674" s="314"/>
      <c r="R674" s="184"/>
      <c r="S674" s="352"/>
    </row>
    <row r="675" ht="22.5" customHeight="1">
      <c r="C675" s="181"/>
      <c r="E675" s="73"/>
      <c r="F675" s="28"/>
      <c r="G675" s="182"/>
      <c r="H675" s="350"/>
      <c r="I675" s="183"/>
      <c r="N675" s="10"/>
      <c r="O675" s="351"/>
      <c r="P675" s="351"/>
      <c r="Q675" s="314"/>
      <c r="R675" s="184"/>
      <c r="S675" s="352"/>
    </row>
    <row r="676" ht="22.5" customHeight="1">
      <c r="C676" s="181"/>
      <c r="E676" s="73"/>
      <c r="F676" s="28"/>
      <c r="G676" s="182"/>
      <c r="H676" s="350"/>
      <c r="I676" s="183"/>
      <c r="N676" s="10"/>
      <c r="O676" s="351"/>
      <c r="P676" s="351"/>
      <c r="Q676" s="314"/>
      <c r="R676" s="184"/>
      <c r="S676" s="352"/>
    </row>
    <row r="677" ht="22.5" customHeight="1">
      <c r="C677" s="181"/>
      <c r="E677" s="73"/>
      <c r="F677" s="28"/>
      <c r="G677" s="182"/>
      <c r="H677" s="350"/>
      <c r="I677" s="183"/>
      <c r="N677" s="10"/>
      <c r="O677" s="351"/>
      <c r="P677" s="351"/>
      <c r="Q677" s="314"/>
      <c r="R677" s="184"/>
      <c r="S677" s="352"/>
    </row>
    <row r="678" ht="22.5" customHeight="1">
      <c r="C678" s="181"/>
      <c r="E678" s="73"/>
      <c r="F678" s="28"/>
      <c r="G678" s="182"/>
      <c r="H678" s="350"/>
      <c r="I678" s="183"/>
      <c r="N678" s="10"/>
      <c r="O678" s="351"/>
      <c r="P678" s="351"/>
      <c r="Q678" s="314"/>
      <c r="R678" s="184"/>
      <c r="S678" s="352"/>
    </row>
    <row r="679" ht="22.5" customHeight="1">
      <c r="C679" s="181"/>
      <c r="E679" s="73"/>
      <c r="F679" s="28"/>
      <c r="G679" s="182"/>
      <c r="H679" s="350"/>
      <c r="I679" s="183"/>
      <c r="N679" s="10"/>
      <c r="O679" s="351"/>
      <c r="P679" s="351"/>
      <c r="Q679" s="314"/>
      <c r="R679" s="184"/>
      <c r="S679" s="352"/>
    </row>
    <row r="680" ht="22.5" customHeight="1">
      <c r="C680" s="181"/>
      <c r="E680" s="73"/>
      <c r="F680" s="28"/>
      <c r="G680" s="182"/>
      <c r="H680" s="350"/>
      <c r="I680" s="183"/>
      <c r="N680" s="10"/>
      <c r="O680" s="351"/>
      <c r="P680" s="351"/>
      <c r="Q680" s="314"/>
      <c r="R680" s="184"/>
      <c r="S680" s="352"/>
    </row>
    <row r="681" ht="22.5" customHeight="1">
      <c r="C681" s="181"/>
      <c r="E681" s="73"/>
      <c r="F681" s="28"/>
      <c r="G681" s="182"/>
      <c r="H681" s="350"/>
      <c r="I681" s="183"/>
      <c r="N681" s="10"/>
      <c r="O681" s="351"/>
      <c r="P681" s="351"/>
      <c r="Q681" s="314"/>
      <c r="R681" s="184"/>
      <c r="S681" s="352"/>
    </row>
    <row r="682" ht="22.5" customHeight="1">
      <c r="C682" s="181"/>
      <c r="E682" s="73"/>
      <c r="F682" s="28"/>
      <c r="G682" s="182"/>
      <c r="H682" s="350"/>
      <c r="I682" s="183"/>
      <c r="N682" s="10"/>
      <c r="O682" s="351"/>
      <c r="P682" s="351"/>
      <c r="Q682" s="314"/>
      <c r="R682" s="184"/>
      <c r="S682" s="352"/>
    </row>
    <row r="683" ht="22.5" customHeight="1">
      <c r="C683" s="181"/>
      <c r="E683" s="73"/>
      <c r="F683" s="28"/>
      <c r="G683" s="182"/>
      <c r="H683" s="350"/>
      <c r="I683" s="183"/>
      <c r="N683" s="10"/>
      <c r="O683" s="351"/>
      <c r="P683" s="351"/>
      <c r="Q683" s="314"/>
      <c r="R683" s="184"/>
      <c r="S683" s="352"/>
    </row>
    <row r="684" ht="22.5" customHeight="1">
      <c r="C684" s="181"/>
      <c r="E684" s="73"/>
      <c r="F684" s="28"/>
      <c r="G684" s="182"/>
      <c r="H684" s="350"/>
      <c r="I684" s="183"/>
      <c r="N684" s="10"/>
      <c r="O684" s="351"/>
      <c r="P684" s="351"/>
      <c r="Q684" s="314"/>
      <c r="R684" s="184"/>
      <c r="S684" s="352"/>
    </row>
    <row r="685" ht="22.5" customHeight="1">
      <c r="C685" s="181"/>
      <c r="E685" s="73"/>
      <c r="F685" s="28"/>
      <c r="G685" s="182"/>
      <c r="H685" s="350"/>
      <c r="I685" s="183"/>
      <c r="N685" s="10"/>
      <c r="O685" s="351"/>
      <c r="P685" s="351"/>
      <c r="Q685" s="314"/>
      <c r="R685" s="184"/>
      <c r="S685" s="352"/>
    </row>
    <row r="686" ht="22.5" customHeight="1">
      <c r="C686" s="181"/>
      <c r="E686" s="73"/>
      <c r="F686" s="28"/>
      <c r="G686" s="182"/>
      <c r="H686" s="350"/>
      <c r="I686" s="183"/>
      <c r="N686" s="10"/>
      <c r="O686" s="351"/>
      <c r="P686" s="351"/>
      <c r="Q686" s="314"/>
      <c r="R686" s="184"/>
      <c r="S686" s="352"/>
    </row>
    <row r="687" ht="22.5" customHeight="1">
      <c r="C687" s="181"/>
      <c r="E687" s="73"/>
      <c r="F687" s="28"/>
      <c r="G687" s="182"/>
      <c r="H687" s="350"/>
      <c r="I687" s="183"/>
      <c r="N687" s="10"/>
      <c r="O687" s="351"/>
      <c r="P687" s="351"/>
      <c r="Q687" s="314"/>
      <c r="R687" s="184"/>
      <c r="S687" s="352"/>
    </row>
    <row r="688" ht="22.5" customHeight="1">
      <c r="C688" s="181"/>
      <c r="E688" s="73"/>
      <c r="F688" s="28"/>
      <c r="G688" s="182"/>
      <c r="H688" s="350"/>
      <c r="I688" s="183"/>
      <c r="N688" s="10"/>
      <c r="O688" s="351"/>
      <c r="P688" s="351"/>
      <c r="Q688" s="314"/>
      <c r="R688" s="184"/>
      <c r="S688" s="352"/>
    </row>
    <row r="689" ht="22.5" customHeight="1">
      <c r="C689" s="181"/>
      <c r="E689" s="73"/>
      <c r="F689" s="28"/>
      <c r="G689" s="182"/>
      <c r="H689" s="350"/>
      <c r="I689" s="183"/>
      <c r="N689" s="10"/>
      <c r="O689" s="351"/>
      <c r="P689" s="351"/>
      <c r="Q689" s="314"/>
      <c r="R689" s="184"/>
      <c r="S689" s="352"/>
    </row>
    <row r="690">
      <c r="C690" s="181"/>
      <c r="E690" s="73"/>
      <c r="F690" s="28"/>
      <c r="G690" s="182"/>
      <c r="H690" s="350"/>
      <c r="I690" s="183"/>
      <c r="N690" s="10"/>
      <c r="O690" s="351"/>
      <c r="P690" s="351"/>
      <c r="Q690" s="314"/>
      <c r="R690" s="184"/>
      <c r="S690" s="352"/>
    </row>
    <row r="691">
      <c r="C691" s="181"/>
      <c r="E691" s="73"/>
      <c r="F691" s="28"/>
      <c r="G691" s="182"/>
      <c r="H691" s="350"/>
      <c r="I691" s="183"/>
      <c r="N691" s="10"/>
      <c r="O691" s="351"/>
      <c r="P691" s="351"/>
      <c r="Q691" s="314"/>
      <c r="R691" s="184"/>
      <c r="S691" s="352"/>
    </row>
    <row r="692">
      <c r="C692" s="181"/>
      <c r="E692" s="73"/>
      <c r="F692" s="28"/>
      <c r="G692" s="182"/>
      <c r="H692" s="350"/>
      <c r="I692" s="183"/>
      <c r="N692" s="10"/>
      <c r="O692" s="351"/>
      <c r="P692" s="351"/>
      <c r="Q692" s="314"/>
      <c r="R692" s="184"/>
      <c r="S692" s="352"/>
    </row>
    <row r="693">
      <c r="C693" s="181"/>
      <c r="E693" s="73"/>
      <c r="F693" s="28"/>
      <c r="G693" s="182"/>
      <c r="H693" s="350"/>
      <c r="I693" s="183"/>
      <c r="N693" s="10"/>
      <c r="O693" s="351"/>
      <c r="P693" s="351"/>
      <c r="Q693" s="314"/>
      <c r="R693" s="184"/>
      <c r="S693" s="352"/>
    </row>
    <row r="694">
      <c r="C694" s="181"/>
      <c r="E694" s="73"/>
      <c r="F694" s="28"/>
      <c r="G694" s="182"/>
      <c r="H694" s="350"/>
      <c r="I694" s="183"/>
      <c r="N694" s="10"/>
      <c r="O694" s="351"/>
      <c r="P694" s="351"/>
      <c r="Q694" s="314"/>
      <c r="R694" s="184"/>
      <c r="S694" s="352"/>
    </row>
    <row r="695">
      <c r="C695" s="181"/>
      <c r="E695" s="73"/>
      <c r="F695" s="28"/>
      <c r="G695" s="182"/>
      <c r="H695" s="350"/>
      <c r="I695" s="183"/>
      <c r="N695" s="10"/>
      <c r="O695" s="351"/>
      <c r="P695" s="351"/>
      <c r="Q695" s="314"/>
      <c r="R695" s="184"/>
      <c r="S695" s="352"/>
    </row>
    <row r="696">
      <c r="C696" s="181"/>
      <c r="E696" s="73"/>
      <c r="F696" s="28"/>
      <c r="G696" s="182"/>
      <c r="H696" s="350"/>
      <c r="I696" s="183"/>
      <c r="N696" s="10"/>
      <c r="O696" s="351"/>
      <c r="P696" s="351"/>
      <c r="Q696" s="314"/>
      <c r="R696" s="184"/>
      <c r="S696" s="352"/>
    </row>
    <row r="697">
      <c r="C697" s="181"/>
      <c r="E697" s="73"/>
      <c r="F697" s="28"/>
      <c r="G697" s="182"/>
      <c r="H697" s="350"/>
      <c r="I697" s="183"/>
      <c r="N697" s="10"/>
      <c r="O697" s="351"/>
      <c r="P697" s="351"/>
      <c r="Q697" s="314"/>
      <c r="R697" s="184"/>
      <c r="S697" s="352"/>
    </row>
    <row r="698">
      <c r="C698" s="181"/>
      <c r="E698" s="73"/>
      <c r="F698" s="28"/>
      <c r="G698" s="182"/>
      <c r="H698" s="350"/>
      <c r="I698" s="183"/>
      <c r="N698" s="10"/>
      <c r="O698" s="351"/>
      <c r="P698" s="351"/>
      <c r="Q698" s="314"/>
      <c r="R698" s="184"/>
      <c r="S698" s="352"/>
    </row>
    <row r="699">
      <c r="C699" s="181"/>
      <c r="E699" s="73"/>
      <c r="F699" s="28"/>
      <c r="G699" s="182"/>
      <c r="H699" s="350"/>
      <c r="I699" s="183"/>
      <c r="N699" s="10"/>
      <c r="O699" s="351"/>
      <c r="P699" s="351"/>
      <c r="Q699" s="314"/>
      <c r="R699" s="184"/>
      <c r="S699" s="352"/>
    </row>
    <row r="700">
      <c r="C700" s="181"/>
      <c r="E700" s="73"/>
      <c r="F700" s="28"/>
      <c r="G700" s="182"/>
      <c r="H700" s="350"/>
      <c r="I700" s="183"/>
      <c r="N700" s="10"/>
      <c r="O700" s="351"/>
      <c r="P700" s="351"/>
      <c r="Q700" s="314"/>
      <c r="R700" s="184"/>
      <c r="S700" s="352"/>
    </row>
    <row r="701">
      <c r="C701" s="181"/>
      <c r="E701" s="73"/>
      <c r="F701" s="28"/>
      <c r="G701" s="182"/>
      <c r="H701" s="350"/>
      <c r="I701" s="183"/>
      <c r="N701" s="10"/>
      <c r="O701" s="351"/>
      <c r="P701" s="351"/>
      <c r="Q701" s="314"/>
      <c r="R701" s="184"/>
      <c r="S701" s="352"/>
    </row>
    <row r="702">
      <c r="C702" s="181"/>
      <c r="E702" s="73"/>
      <c r="F702" s="28"/>
      <c r="G702" s="182"/>
      <c r="H702" s="350"/>
      <c r="I702" s="183"/>
      <c r="N702" s="10"/>
      <c r="O702" s="351"/>
      <c r="P702" s="351"/>
      <c r="Q702" s="314"/>
      <c r="R702" s="184"/>
      <c r="S702" s="352"/>
    </row>
    <row r="703">
      <c r="C703" s="181"/>
      <c r="E703" s="73"/>
      <c r="F703" s="28"/>
      <c r="G703" s="182"/>
      <c r="H703" s="350"/>
      <c r="I703" s="183"/>
      <c r="N703" s="10"/>
      <c r="O703" s="351"/>
      <c r="P703" s="351"/>
      <c r="Q703" s="314"/>
      <c r="R703" s="184"/>
      <c r="S703" s="352"/>
    </row>
    <row r="704">
      <c r="C704" s="181"/>
      <c r="E704" s="73"/>
      <c r="F704" s="28"/>
      <c r="G704" s="182"/>
      <c r="H704" s="350"/>
      <c r="I704" s="183"/>
      <c r="N704" s="10"/>
      <c r="O704" s="351"/>
      <c r="P704" s="351"/>
      <c r="Q704" s="314"/>
      <c r="R704" s="184"/>
      <c r="S704" s="352"/>
    </row>
    <row r="705">
      <c r="C705" s="181"/>
      <c r="E705" s="73"/>
      <c r="F705" s="28"/>
      <c r="G705" s="182"/>
      <c r="H705" s="350"/>
      <c r="I705" s="183"/>
      <c r="N705" s="10"/>
      <c r="O705" s="351"/>
      <c r="P705" s="351"/>
      <c r="Q705" s="314"/>
      <c r="R705" s="184"/>
      <c r="S705" s="352"/>
    </row>
    <row r="706">
      <c r="C706" s="181"/>
      <c r="E706" s="73"/>
      <c r="F706" s="28"/>
      <c r="G706" s="182"/>
      <c r="H706" s="350"/>
      <c r="I706" s="183"/>
      <c r="N706" s="10"/>
      <c r="O706" s="351"/>
      <c r="P706" s="351"/>
      <c r="Q706" s="314"/>
      <c r="R706" s="184"/>
      <c r="S706" s="352"/>
    </row>
    <row r="707">
      <c r="C707" s="181"/>
      <c r="E707" s="73"/>
      <c r="F707" s="28"/>
      <c r="G707" s="182"/>
      <c r="H707" s="350"/>
      <c r="I707" s="183"/>
      <c r="N707" s="10"/>
      <c r="O707" s="351"/>
      <c r="P707" s="351"/>
      <c r="Q707" s="314"/>
      <c r="R707" s="184"/>
      <c r="S707" s="352"/>
    </row>
    <row r="708">
      <c r="C708" s="181"/>
      <c r="E708" s="73"/>
      <c r="F708" s="28"/>
      <c r="G708" s="182"/>
      <c r="H708" s="350"/>
      <c r="I708" s="183"/>
      <c r="N708" s="10"/>
      <c r="O708" s="351"/>
      <c r="P708" s="351"/>
      <c r="Q708" s="314"/>
      <c r="R708" s="184"/>
      <c r="S708" s="352"/>
    </row>
    <row r="709">
      <c r="C709" s="181"/>
      <c r="E709" s="73"/>
      <c r="F709" s="28"/>
      <c r="G709" s="182"/>
      <c r="H709" s="350"/>
      <c r="I709" s="183"/>
      <c r="N709" s="10"/>
      <c r="O709" s="351"/>
      <c r="P709" s="351"/>
      <c r="Q709" s="314"/>
      <c r="R709" s="184"/>
      <c r="S709" s="352"/>
    </row>
    <row r="710">
      <c r="C710" s="181"/>
      <c r="E710" s="73"/>
      <c r="F710" s="28"/>
      <c r="G710" s="182"/>
      <c r="H710" s="350"/>
      <c r="I710" s="183"/>
      <c r="N710" s="10"/>
      <c r="O710" s="351"/>
      <c r="P710" s="351"/>
      <c r="Q710" s="314"/>
      <c r="R710" s="184"/>
      <c r="S710" s="352"/>
    </row>
    <row r="711">
      <c r="C711" s="181"/>
      <c r="E711" s="73"/>
      <c r="F711" s="28"/>
      <c r="G711" s="182"/>
      <c r="H711" s="350"/>
      <c r="I711" s="183"/>
      <c r="N711" s="10"/>
      <c r="O711" s="351"/>
      <c r="P711" s="351"/>
      <c r="Q711" s="314"/>
      <c r="R711" s="184"/>
      <c r="S711" s="352"/>
    </row>
    <row r="712">
      <c r="C712" s="181"/>
      <c r="E712" s="73"/>
      <c r="F712" s="28"/>
      <c r="G712" s="182"/>
      <c r="H712" s="350"/>
      <c r="I712" s="183"/>
      <c r="N712" s="10"/>
      <c r="O712" s="351"/>
      <c r="P712" s="351"/>
      <c r="Q712" s="314"/>
      <c r="R712" s="184"/>
      <c r="S712" s="352"/>
    </row>
    <row r="713">
      <c r="C713" s="181"/>
      <c r="E713" s="73"/>
      <c r="F713" s="28"/>
      <c r="G713" s="182"/>
      <c r="H713" s="350"/>
      <c r="I713" s="183"/>
      <c r="N713" s="10"/>
      <c r="O713" s="351"/>
      <c r="P713" s="351"/>
      <c r="Q713" s="314"/>
      <c r="R713" s="184"/>
      <c r="S713" s="352"/>
    </row>
    <row r="714">
      <c r="C714" s="181"/>
      <c r="E714" s="73"/>
      <c r="F714" s="28"/>
      <c r="G714" s="182"/>
      <c r="H714" s="350"/>
      <c r="I714" s="183"/>
      <c r="N714" s="10"/>
      <c r="O714" s="351"/>
      <c r="P714" s="351"/>
      <c r="Q714" s="314"/>
      <c r="R714" s="184"/>
      <c r="S714" s="352"/>
    </row>
    <row r="715">
      <c r="C715" s="181"/>
      <c r="E715" s="73"/>
      <c r="F715" s="28"/>
      <c r="G715" s="182"/>
      <c r="H715" s="350"/>
      <c r="I715" s="183"/>
      <c r="N715" s="10"/>
      <c r="O715" s="351"/>
      <c r="P715" s="351"/>
      <c r="Q715" s="314"/>
      <c r="R715" s="184"/>
      <c r="S715" s="352"/>
    </row>
    <row r="716">
      <c r="C716" s="181"/>
      <c r="E716" s="73"/>
      <c r="F716" s="28"/>
      <c r="G716" s="182"/>
      <c r="H716" s="350"/>
      <c r="I716" s="183"/>
      <c r="N716" s="10"/>
      <c r="O716" s="351"/>
      <c r="P716" s="351"/>
      <c r="Q716" s="314"/>
      <c r="R716" s="184"/>
      <c r="S716" s="352"/>
    </row>
    <row r="717">
      <c r="C717" s="181"/>
      <c r="E717" s="73"/>
      <c r="F717" s="28"/>
      <c r="G717" s="182"/>
      <c r="H717" s="350"/>
      <c r="I717" s="183"/>
      <c r="N717" s="10"/>
      <c r="O717" s="351"/>
      <c r="P717" s="351"/>
      <c r="Q717" s="314"/>
      <c r="R717" s="184"/>
      <c r="S717" s="352"/>
    </row>
    <row r="718">
      <c r="C718" s="181"/>
      <c r="E718" s="73"/>
      <c r="F718" s="28"/>
      <c r="G718" s="182"/>
      <c r="H718" s="350"/>
      <c r="I718" s="183"/>
      <c r="N718" s="10"/>
      <c r="O718" s="351"/>
      <c r="P718" s="351"/>
      <c r="Q718" s="314"/>
      <c r="R718" s="184"/>
      <c r="S718" s="352"/>
    </row>
    <row r="719">
      <c r="C719" s="181"/>
      <c r="E719" s="73"/>
      <c r="F719" s="28"/>
      <c r="G719" s="182"/>
      <c r="H719" s="350"/>
      <c r="I719" s="183"/>
      <c r="N719" s="10"/>
      <c r="O719" s="351"/>
      <c r="P719" s="351"/>
      <c r="Q719" s="314"/>
      <c r="R719" s="184"/>
      <c r="S719" s="352"/>
    </row>
    <row r="720">
      <c r="C720" s="181"/>
      <c r="E720" s="73"/>
      <c r="F720" s="28"/>
      <c r="G720" s="182"/>
      <c r="H720" s="350"/>
      <c r="I720" s="183"/>
      <c r="N720" s="10"/>
      <c r="O720" s="351"/>
      <c r="P720" s="351"/>
      <c r="Q720" s="314"/>
      <c r="R720" s="184"/>
      <c r="S720" s="352"/>
    </row>
    <row r="721">
      <c r="C721" s="181"/>
      <c r="E721" s="73"/>
      <c r="F721" s="28"/>
      <c r="G721" s="182"/>
      <c r="H721" s="350"/>
      <c r="I721" s="183"/>
      <c r="N721" s="10"/>
      <c r="O721" s="351"/>
      <c r="P721" s="351"/>
      <c r="Q721" s="314"/>
      <c r="R721" s="184"/>
      <c r="S721" s="352"/>
    </row>
    <row r="722">
      <c r="C722" s="181"/>
      <c r="E722" s="73"/>
      <c r="F722" s="28"/>
      <c r="G722" s="182"/>
      <c r="H722" s="350"/>
      <c r="I722" s="183"/>
      <c r="N722" s="10"/>
      <c r="O722" s="351"/>
      <c r="P722" s="351"/>
      <c r="Q722" s="314"/>
      <c r="R722" s="184"/>
      <c r="S722" s="352"/>
    </row>
    <row r="723">
      <c r="C723" s="181"/>
      <c r="E723" s="73"/>
      <c r="F723" s="28"/>
      <c r="G723" s="182"/>
      <c r="H723" s="350"/>
      <c r="I723" s="183"/>
      <c r="N723" s="10"/>
      <c r="O723" s="351"/>
      <c r="P723" s="351"/>
      <c r="Q723" s="314"/>
      <c r="R723" s="184"/>
      <c r="S723" s="352"/>
    </row>
    <row r="724">
      <c r="C724" s="181"/>
      <c r="E724" s="73"/>
      <c r="F724" s="28"/>
      <c r="G724" s="182"/>
      <c r="H724" s="350"/>
      <c r="I724" s="183"/>
      <c r="N724" s="10"/>
      <c r="O724" s="351"/>
      <c r="P724" s="351"/>
      <c r="Q724" s="314"/>
      <c r="R724" s="184"/>
      <c r="S724" s="352"/>
    </row>
    <row r="725">
      <c r="C725" s="181"/>
      <c r="E725" s="73"/>
      <c r="F725" s="28"/>
      <c r="G725" s="182"/>
      <c r="H725" s="350"/>
      <c r="I725" s="183"/>
      <c r="N725" s="10"/>
      <c r="O725" s="351"/>
      <c r="P725" s="351"/>
      <c r="Q725" s="314"/>
      <c r="R725" s="184"/>
      <c r="S725" s="352"/>
    </row>
    <row r="726">
      <c r="C726" s="181"/>
      <c r="E726" s="73"/>
      <c r="F726" s="28"/>
      <c r="G726" s="182"/>
      <c r="H726" s="350"/>
      <c r="I726" s="183"/>
      <c r="N726" s="10"/>
      <c r="O726" s="351"/>
      <c r="P726" s="351"/>
      <c r="Q726" s="314"/>
      <c r="R726" s="184"/>
      <c r="S726" s="352"/>
    </row>
    <row r="727">
      <c r="C727" s="181"/>
      <c r="E727" s="73"/>
      <c r="F727" s="28"/>
      <c r="G727" s="182"/>
      <c r="H727" s="350"/>
      <c r="I727" s="183"/>
      <c r="N727" s="10"/>
      <c r="O727" s="351"/>
      <c r="P727" s="351"/>
      <c r="Q727" s="314"/>
      <c r="R727" s="184"/>
      <c r="S727" s="352"/>
    </row>
    <row r="728">
      <c r="C728" s="181"/>
      <c r="E728" s="73"/>
      <c r="F728" s="28"/>
      <c r="G728" s="182"/>
      <c r="H728" s="350"/>
      <c r="I728" s="183"/>
      <c r="N728" s="10"/>
      <c r="O728" s="351"/>
      <c r="P728" s="351"/>
      <c r="Q728" s="314"/>
      <c r="R728" s="184"/>
      <c r="S728" s="352"/>
    </row>
    <row r="729">
      <c r="C729" s="181"/>
      <c r="E729" s="73"/>
      <c r="F729" s="28"/>
      <c r="G729" s="182"/>
      <c r="H729" s="350"/>
      <c r="I729" s="183"/>
      <c r="N729" s="10"/>
      <c r="O729" s="351"/>
      <c r="P729" s="351"/>
      <c r="Q729" s="314"/>
      <c r="R729" s="184"/>
      <c r="S729" s="352"/>
    </row>
    <row r="730">
      <c r="C730" s="181"/>
      <c r="E730" s="73"/>
      <c r="F730" s="28"/>
      <c r="G730" s="182"/>
      <c r="H730" s="350"/>
      <c r="I730" s="183"/>
      <c r="N730" s="10"/>
      <c r="O730" s="351"/>
      <c r="P730" s="351"/>
      <c r="Q730" s="314"/>
      <c r="R730" s="184"/>
      <c r="S730" s="352"/>
    </row>
    <row r="731">
      <c r="C731" s="181"/>
      <c r="E731" s="73"/>
      <c r="F731" s="28"/>
      <c r="G731" s="182"/>
      <c r="H731" s="350"/>
      <c r="I731" s="183"/>
      <c r="N731" s="10"/>
      <c r="O731" s="351"/>
      <c r="P731" s="351"/>
      <c r="Q731" s="314"/>
      <c r="R731" s="184"/>
      <c r="S731" s="352"/>
    </row>
    <row r="732">
      <c r="C732" s="181"/>
      <c r="E732" s="73"/>
      <c r="F732" s="28"/>
      <c r="G732" s="182"/>
      <c r="H732" s="350"/>
      <c r="I732" s="183"/>
      <c r="N732" s="10"/>
      <c r="O732" s="351"/>
      <c r="P732" s="351"/>
      <c r="Q732" s="314"/>
      <c r="R732" s="184"/>
      <c r="S732" s="352"/>
    </row>
    <row r="733">
      <c r="C733" s="181"/>
      <c r="E733" s="73"/>
      <c r="F733" s="28"/>
      <c r="G733" s="182"/>
      <c r="H733" s="350"/>
      <c r="I733" s="183"/>
      <c r="N733" s="10"/>
      <c r="O733" s="351"/>
      <c r="P733" s="351"/>
      <c r="Q733" s="314"/>
      <c r="R733" s="184"/>
      <c r="S733" s="352"/>
    </row>
    <row r="734">
      <c r="C734" s="181"/>
      <c r="E734" s="73"/>
      <c r="F734" s="28"/>
      <c r="G734" s="182"/>
      <c r="H734" s="350"/>
      <c r="I734" s="183"/>
      <c r="N734" s="10"/>
      <c r="O734" s="351"/>
      <c r="P734" s="351"/>
      <c r="Q734" s="314"/>
      <c r="R734" s="184"/>
      <c r="S734" s="352"/>
    </row>
    <row r="735">
      <c r="C735" s="181"/>
      <c r="E735" s="73"/>
      <c r="F735" s="28"/>
      <c r="G735" s="182"/>
      <c r="H735" s="350"/>
      <c r="I735" s="183"/>
      <c r="N735" s="10"/>
      <c r="O735" s="351"/>
      <c r="P735" s="351"/>
      <c r="Q735" s="314"/>
      <c r="R735" s="184"/>
      <c r="S735" s="352"/>
    </row>
    <row r="736">
      <c r="C736" s="181"/>
      <c r="E736" s="73"/>
      <c r="F736" s="28"/>
      <c r="G736" s="182"/>
      <c r="H736" s="350"/>
      <c r="I736" s="183"/>
      <c r="N736" s="10"/>
      <c r="O736" s="351"/>
      <c r="P736" s="351"/>
      <c r="Q736" s="314"/>
      <c r="R736" s="184"/>
      <c r="S736" s="352"/>
    </row>
    <row r="737">
      <c r="C737" s="181"/>
      <c r="E737" s="73"/>
      <c r="F737" s="28"/>
      <c r="G737" s="182"/>
      <c r="H737" s="350"/>
      <c r="I737" s="183"/>
      <c r="N737" s="10"/>
      <c r="O737" s="351"/>
      <c r="P737" s="351"/>
      <c r="Q737" s="314"/>
      <c r="R737" s="184"/>
      <c r="S737" s="352"/>
    </row>
    <row r="738">
      <c r="C738" s="181"/>
      <c r="E738" s="73"/>
      <c r="F738" s="28"/>
      <c r="G738" s="182"/>
      <c r="H738" s="350"/>
      <c r="I738" s="183"/>
      <c r="N738" s="10"/>
      <c r="O738" s="351"/>
      <c r="P738" s="351"/>
      <c r="Q738" s="314"/>
      <c r="R738" s="184"/>
      <c r="S738" s="352"/>
    </row>
    <row r="739">
      <c r="C739" s="181"/>
      <c r="E739" s="73"/>
      <c r="F739" s="28"/>
      <c r="G739" s="182"/>
      <c r="H739" s="350"/>
      <c r="I739" s="183"/>
      <c r="N739" s="10"/>
      <c r="O739" s="351"/>
      <c r="P739" s="351"/>
      <c r="Q739" s="314"/>
      <c r="R739" s="184"/>
      <c r="S739" s="352"/>
    </row>
    <row r="740">
      <c r="C740" s="181"/>
      <c r="E740" s="73"/>
      <c r="F740" s="28"/>
      <c r="G740" s="182"/>
      <c r="H740" s="350"/>
      <c r="I740" s="183"/>
      <c r="N740" s="10"/>
      <c r="O740" s="351"/>
      <c r="P740" s="351"/>
      <c r="Q740" s="314"/>
      <c r="R740" s="184"/>
      <c r="S740" s="352"/>
    </row>
    <row r="741">
      <c r="C741" s="181"/>
      <c r="E741" s="73"/>
      <c r="F741" s="28"/>
      <c r="G741" s="182"/>
      <c r="H741" s="350"/>
      <c r="I741" s="183"/>
      <c r="N741" s="10"/>
      <c r="O741" s="351"/>
      <c r="P741" s="351"/>
      <c r="Q741" s="314"/>
      <c r="R741" s="184"/>
      <c r="S741" s="352"/>
    </row>
    <row r="742">
      <c r="C742" s="181"/>
      <c r="E742" s="73"/>
      <c r="F742" s="28"/>
      <c r="G742" s="182"/>
      <c r="H742" s="350"/>
      <c r="I742" s="183"/>
      <c r="N742" s="10"/>
      <c r="O742" s="351"/>
      <c r="P742" s="351"/>
      <c r="Q742" s="314"/>
      <c r="R742" s="184"/>
      <c r="S742" s="352"/>
    </row>
    <row r="743">
      <c r="C743" s="181"/>
      <c r="E743" s="73"/>
      <c r="F743" s="28"/>
      <c r="G743" s="182"/>
      <c r="H743" s="350"/>
      <c r="I743" s="183"/>
      <c r="N743" s="10"/>
      <c r="O743" s="351"/>
      <c r="P743" s="351"/>
      <c r="Q743" s="314"/>
      <c r="R743" s="184"/>
      <c r="S743" s="352"/>
    </row>
    <row r="744">
      <c r="C744" s="181"/>
      <c r="E744" s="73"/>
      <c r="F744" s="28"/>
      <c r="G744" s="182"/>
      <c r="H744" s="350"/>
      <c r="I744" s="183"/>
      <c r="N744" s="10"/>
      <c r="O744" s="351"/>
      <c r="P744" s="351"/>
      <c r="Q744" s="314"/>
      <c r="R744" s="184"/>
      <c r="S744" s="352"/>
    </row>
    <row r="745">
      <c r="C745" s="181"/>
      <c r="E745" s="73"/>
      <c r="F745" s="28"/>
      <c r="G745" s="182"/>
      <c r="H745" s="350"/>
      <c r="I745" s="183"/>
      <c r="N745" s="10"/>
      <c r="O745" s="351"/>
      <c r="P745" s="351"/>
      <c r="Q745" s="314"/>
      <c r="R745" s="184"/>
      <c r="S745" s="352"/>
    </row>
    <row r="746">
      <c r="C746" s="181"/>
      <c r="E746" s="73"/>
      <c r="F746" s="28"/>
      <c r="G746" s="182"/>
      <c r="H746" s="350"/>
      <c r="I746" s="183"/>
      <c r="N746" s="10"/>
      <c r="O746" s="351"/>
      <c r="P746" s="351"/>
      <c r="Q746" s="314"/>
      <c r="R746" s="184"/>
      <c r="S746" s="352"/>
    </row>
    <row r="747">
      <c r="C747" s="181"/>
      <c r="E747" s="73"/>
      <c r="F747" s="28"/>
      <c r="G747" s="182"/>
      <c r="H747" s="350"/>
      <c r="I747" s="183"/>
      <c r="N747" s="10"/>
      <c r="O747" s="351"/>
      <c r="P747" s="351"/>
      <c r="Q747" s="314"/>
      <c r="R747" s="184"/>
      <c r="S747" s="352"/>
    </row>
    <row r="748">
      <c r="C748" s="181"/>
      <c r="E748" s="73"/>
      <c r="F748" s="28"/>
      <c r="G748" s="182"/>
      <c r="H748" s="350"/>
      <c r="I748" s="183"/>
      <c r="N748" s="10"/>
      <c r="O748" s="351"/>
      <c r="P748" s="351"/>
      <c r="Q748" s="314"/>
      <c r="R748" s="184"/>
      <c r="S748" s="352"/>
    </row>
    <row r="749">
      <c r="C749" s="181"/>
      <c r="E749" s="73"/>
      <c r="F749" s="28"/>
      <c r="G749" s="182"/>
      <c r="H749" s="350"/>
      <c r="I749" s="183"/>
      <c r="N749" s="10"/>
      <c r="O749" s="351"/>
      <c r="P749" s="351"/>
      <c r="Q749" s="314"/>
      <c r="R749" s="184"/>
      <c r="S749" s="352"/>
    </row>
    <row r="750">
      <c r="C750" s="181"/>
      <c r="E750" s="73"/>
      <c r="F750" s="28"/>
      <c r="G750" s="182"/>
      <c r="H750" s="350"/>
      <c r="I750" s="183"/>
      <c r="N750" s="10"/>
      <c r="O750" s="351"/>
      <c r="P750" s="351"/>
      <c r="Q750" s="314"/>
      <c r="R750" s="184"/>
      <c r="S750" s="352"/>
    </row>
    <row r="751">
      <c r="C751" s="181"/>
      <c r="E751" s="73"/>
      <c r="F751" s="28"/>
      <c r="G751" s="182"/>
      <c r="H751" s="350"/>
      <c r="I751" s="183"/>
      <c r="N751" s="10"/>
      <c r="O751" s="351"/>
      <c r="P751" s="351"/>
      <c r="Q751" s="314"/>
      <c r="R751" s="184"/>
      <c r="S751" s="352"/>
    </row>
    <row r="752">
      <c r="C752" s="181"/>
      <c r="E752" s="73"/>
      <c r="F752" s="28"/>
      <c r="G752" s="182"/>
      <c r="H752" s="350"/>
      <c r="I752" s="183"/>
      <c r="N752" s="10"/>
      <c r="O752" s="351"/>
      <c r="P752" s="351"/>
      <c r="Q752" s="314"/>
      <c r="R752" s="184"/>
      <c r="S752" s="352"/>
    </row>
    <row r="753">
      <c r="C753" s="181"/>
      <c r="E753" s="73"/>
      <c r="F753" s="28"/>
      <c r="G753" s="182"/>
      <c r="H753" s="350"/>
      <c r="I753" s="183"/>
      <c r="N753" s="10"/>
      <c r="O753" s="351"/>
      <c r="P753" s="351"/>
      <c r="Q753" s="314"/>
      <c r="R753" s="184"/>
      <c r="S753" s="352"/>
    </row>
    <row r="754">
      <c r="C754" s="181"/>
      <c r="E754" s="73"/>
      <c r="F754" s="28"/>
      <c r="G754" s="182"/>
      <c r="H754" s="350"/>
      <c r="I754" s="183"/>
      <c r="N754" s="10"/>
      <c r="O754" s="351"/>
      <c r="P754" s="351"/>
      <c r="Q754" s="314"/>
      <c r="R754" s="184"/>
      <c r="S754" s="352"/>
    </row>
    <row r="755">
      <c r="C755" s="181"/>
      <c r="E755" s="73"/>
      <c r="F755" s="28"/>
      <c r="G755" s="182"/>
      <c r="H755" s="350"/>
      <c r="I755" s="183"/>
      <c r="N755" s="10"/>
      <c r="O755" s="351"/>
      <c r="P755" s="351"/>
      <c r="Q755" s="314"/>
      <c r="R755" s="184"/>
      <c r="S755" s="352"/>
    </row>
    <row r="756">
      <c r="C756" s="181"/>
      <c r="E756" s="73"/>
      <c r="F756" s="28"/>
      <c r="G756" s="182"/>
      <c r="H756" s="350"/>
      <c r="I756" s="183"/>
      <c r="N756" s="10"/>
      <c r="O756" s="351"/>
      <c r="P756" s="351"/>
      <c r="Q756" s="314"/>
      <c r="R756" s="184"/>
      <c r="S756" s="352"/>
    </row>
    <row r="757">
      <c r="C757" s="181"/>
      <c r="E757" s="73"/>
      <c r="F757" s="28"/>
      <c r="G757" s="182"/>
      <c r="H757" s="350"/>
      <c r="I757" s="183"/>
      <c r="N757" s="10"/>
      <c r="O757" s="351"/>
      <c r="P757" s="351"/>
      <c r="Q757" s="314"/>
      <c r="R757" s="184"/>
      <c r="S757" s="352"/>
    </row>
    <row r="758">
      <c r="C758" s="181"/>
      <c r="E758" s="73"/>
      <c r="F758" s="28"/>
      <c r="G758" s="182"/>
      <c r="H758" s="350"/>
      <c r="I758" s="183"/>
      <c r="N758" s="10"/>
      <c r="O758" s="351"/>
      <c r="P758" s="351"/>
      <c r="Q758" s="314"/>
      <c r="R758" s="184"/>
      <c r="S758" s="352"/>
    </row>
    <row r="759">
      <c r="C759" s="181"/>
      <c r="E759" s="73"/>
      <c r="F759" s="28"/>
      <c r="G759" s="182"/>
      <c r="H759" s="350"/>
      <c r="I759" s="183"/>
      <c r="N759" s="10"/>
      <c r="O759" s="351"/>
      <c r="P759" s="351"/>
      <c r="Q759" s="314"/>
      <c r="R759" s="184"/>
      <c r="S759" s="352"/>
    </row>
    <row r="760">
      <c r="C760" s="181"/>
      <c r="E760" s="73"/>
      <c r="F760" s="28"/>
      <c r="G760" s="182"/>
      <c r="H760" s="350"/>
      <c r="I760" s="183"/>
      <c r="N760" s="10"/>
      <c r="O760" s="351"/>
      <c r="P760" s="351"/>
      <c r="Q760" s="314"/>
      <c r="R760" s="184"/>
      <c r="S760" s="352"/>
    </row>
    <row r="761">
      <c r="C761" s="181"/>
      <c r="E761" s="73"/>
      <c r="F761" s="28"/>
      <c r="G761" s="182"/>
      <c r="H761" s="350"/>
      <c r="I761" s="183"/>
      <c r="N761" s="10"/>
      <c r="O761" s="351"/>
      <c r="P761" s="351"/>
      <c r="Q761" s="314"/>
      <c r="R761" s="184"/>
      <c r="S761" s="352"/>
    </row>
    <row r="762">
      <c r="C762" s="181"/>
      <c r="E762" s="73"/>
      <c r="F762" s="28"/>
      <c r="G762" s="182"/>
      <c r="H762" s="350"/>
      <c r="I762" s="183"/>
      <c r="N762" s="10"/>
      <c r="O762" s="351"/>
      <c r="P762" s="351"/>
      <c r="Q762" s="314"/>
      <c r="R762" s="184"/>
      <c r="S762" s="352"/>
    </row>
    <row r="763">
      <c r="C763" s="181"/>
      <c r="E763" s="73"/>
      <c r="F763" s="28"/>
      <c r="G763" s="182"/>
      <c r="H763" s="350"/>
      <c r="I763" s="183"/>
      <c r="N763" s="10"/>
      <c r="O763" s="351"/>
      <c r="P763" s="351"/>
      <c r="Q763" s="314"/>
      <c r="R763" s="184"/>
      <c r="S763" s="352"/>
    </row>
    <row r="764">
      <c r="C764" s="181"/>
      <c r="E764" s="73"/>
      <c r="F764" s="28"/>
      <c r="G764" s="182"/>
      <c r="H764" s="350"/>
      <c r="I764" s="183"/>
      <c r="N764" s="10"/>
      <c r="O764" s="351"/>
      <c r="P764" s="351"/>
      <c r="Q764" s="314"/>
      <c r="R764" s="184"/>
      <c r="S764" s="352"/>
    </row>
    <row r="765">
      <c r="C765" s="181"/>
      <c r="E765" s="73"/>
      <c r="F765" s="28"/>
      <c r="G765" s="182"/>
      <c r="H765" s="350"/>
      <c r="I765" s="183"/>
      <c r="N765" s="10"/>
      <c r="O765" s="351"/>
      <c r="P765" s="351"/>
      <c r="Q765" s="314"/>
      <c r="R765" s="184"/>
      <c r="S765" s="352"/>
    </row>
    <row r="766">
      <c r="C766" s="181"/>
      <c r="E766" s="73"/>
      <c r="F766" s="28"/>
      <c r="G766" s="182"/>
      <c r="H766" s="350"/>
      <c r="I766" s="183"/>
      <c r="N766" s="10"/>
      <c r="O766" s="351"/>
      <c r="P766" s="351"/>
      <c r="Q766" s="314"/>
      <c r="R766" s="184"/>
      <c r="S766" s="352"/>
    </row>
    <row r="767">
      <c r="C767" s="181"/>
      <c r="E767" s="73"/>
      <c r="F767" s="28"/>
      <c r="G767" s="182"/>
      <c r="H767" s="350"/>
      <c r="I767" s="183"/>
      <c r="N767" s="10"/>
      <c r="O767" s="351"/>
      <c r="P767" s="351"/>
      <c r="Q767" s="314"/>
      <c r="R767" s="184"/>
      <c r="S767" s="352"/>
    </row>
    <row r="768">
      <c r="C768" s="181"/>
      <c r="E768" s="73"/>
      <c r="F768" s="28"/>
      <c r="G768" s="182"/>
      <c r="H768" s="350"/>
      <c r="I768" s="183"/>
      <c r="N768" s="10"/>
      <c r="O768" s="351"/>
      <c r="P768" s="351"/>
      <c r="Q768" s="314"/>
      <c r="R768" s="184"/>
      <c r="S768" s="352"/>
    </row>
    <row r="769">
      <c r="C769" s="181"/>
      <c r="E769" s="73"/>
      <c r="F769" s="28"/>
      <c r="G769" s="182"/>
      <c r="H769" s="350"/>
      <c r="I769" s="183"/>
      <c r="N769" s="10"/>
      <c r="O769" s="351"/>
      <c r="P769" s="351"/>
      <c r="Q769" s="314"/>
      <c r="R769" s="184"/>
      <c r="S769" s="352"/>
    </row>
    <row r="770">
      <c r="C770" s="181"/>
      <c r="E770" s="73"/>
      <c r="F770" s="28"/>
      <c r="G770" s="182"/>
      <c r="H770" s="350"/>
      <c r="I770" s="183"/>
      <c r="N770" s="10"/>
      <c r="O770" s="351"/>
      <c r="P770" s="351"/>
      <c r="Q770" s="314"/>
      <c r="R770" s="184"/>
      <c r="S770" s="352"/>
    </row>
    <row r="771">
      <c r="C771" s="181"/>
      <c r="E771" s="73"/>
      <c r="F771" s="28"/>
      <c r="G771" s="182"/>
      <c r="H771" s="350"/>
      <c r="I771" s="183"/>
      <c r="N771" s="10"/>
      <c r="O771" s="351"/>
      <c r="P771" s="351"/>
      <c r="Q771" s="314"/>
      <c r="R771" s="184"/>
      <c r="S771" s="352"/>
    </row>
    <row r="772">
      <c r="C772" s="181"/>
      <c r="E772" s="73"/>
      <c r="F772" s="28"/>
      <c r="G772" s="182"/>
      <c r="H772" s="350"/>
      <c r="I772" s="183"/>
      <c r="N772" s="10"/>
      <c r="O772" s="351"/>
      <c r="P772" s="351"/>
      <c r="Q772" s="314"/>
      <c r="R772" s="184"/>
      <c r="S772" s="352"/>
    </row>
    <row r="773">
      <c r="C773" s="181"/>
      <c r="E773" s="73"/>
      <c r="F773" s="28"/>
      <c r="G773" s="182"/>
      <c r="H773" s="350"/>
      <c r="I773" s="183"/>
      <c r="N773" s="10"/>
      <c r="O773" s="351"/>
      <c r="P773" s="351"/>
      <c r="Q773" s="314"/>
      <c r="R773" s="184"/>
      <c r="S773" s="352"/>
    </row>
    <row r="774">
      <c r="C774" s="181"/>
      <c r="E774" s="73"/>
      <c r="F774" s="28"/>
      <c r="G774" s="182"/>
      <c r="H774" s="350"/>
      <c r="I774" s="183"/>
      <c r="N774" s="10"/>
      <c r="O774" s="351"/>
      <c r="P774" s="351"/>
      <c r="Q774" s="314"/>
      <c r="R774" s="184"/>
      <c r="S774" s="352"/>
    </row>
    <row r="775">
      <c r="C775" s="181"/>
      <c r="E775" s="73"/>
      <c r="F775" s="28"/>
      <c r="G775" s="182"/>
      <c r="H775" s="350"/>
      <c r="I775" s="183"/>
      <c r="N775" s="10"/>
      <c r="O775" s="351"/>
      <c r="P775" s="351"/>
      <c r="Q775" s="314"/>
      <c r="R775" s="184"/>
      <c r="S775" s="352"/>
    </row>
    <row r="776">
      <c r="C776" s="181"/>
      <c r="E776" s="73"/>
      <c r="F776" s="28"/>
      <c r="G776" s="182"/>
      <c r="H776" s="350"/>
      <c r="I776" s="183"/>
      <c r="N776" s="10"/>
      <c r="O776" s="351"/>
      <c r="P776" s="351"/>
      <c r="Q776" s="314"/>
      <c r="R776" s="184"/>
      <c r="S776" s="352"/>
    </row>
    <row r="777">
      <c r="C777" s="181"/>
      <c r="E777" s="73"/>
      <c r="F777" s="28"/>
      <c r="G777" s="182"/>
      <c r="H777" s="350"/>
      <c r="I777" s="183"/>
      <c r="N777" s="10"/>
      <c r="O777" s="351"/>
      <c r="P777" s="351"/>
      <c r="Q777" s="314"/>
      <c r="R777" s="184"/>
      <c r="S777" s="352"/>
    </row>
    <row r="778">
      <c r="C778" s="181"/>
      <c r="E778" s="73"/>
      <c r="F778" s="28"/>
      <c r="G778" s="182"/>
      <c r="H778" s="350"/>
      <c r="I778" s="183"/>
      <c r="N778" s="10"/>
      <c r="O778" s="351"/>
      <c r="P778" s="351"/>
      <c r="Q778" s="314"/>
      <c r="R778" s="184"/>
      <c r="S778" s="352"/>
    </row>
    <row r="779">
      <c r="C779" s="181"/>
      <c r="E779" s="73"/>
      <c r="F779" s="28"/>
      <c r="G779" s="182"/>
      <c r="H779" s="350"/>
      <c r="I779" s="183"/>
      <c r="N779" s="10"/>
      <c r="O779" s="351"/>
      <c r="P779" s="351"/>
      <c r="Q779" s="314"/>
      <c r="R779" s="184"/>
      <c r="S779" s="352"/>
    </row>
    <row r="780">
      <c r="C780" s="181"/>
      <c r="E780" s="73"/>
      <c r="F780" s="28"/>
      <c r="G780" s="182"/>
      <c r="H780" s="350"/>
      <c r="I780" s="183"/>
      <c r="N780" s="10"/>
      <c r="O780" s="351"/>
      <c r="P780" s="351"/>
      <c r="Q780" s="314"/>
      <c r="R780" s="184"/>
      <c r="S780" s="352"/>
    </row>
    <row r="781">
      <c r="C781" s="181"/>
      <c r="E781" s="73"/>
      <c r="F781" s="28"/>
      <c r="G781" s="182"/>
      <c r="H781" s="350"/>
      <c r="I781" s="183"/>
      <c r="N781" s="10"/>
      <c r="O781" s="351"/>
      <c r="P781" s="351"/>
      <c r="Q781" s="314"/>
      <c r="R781" s="184"/>
      <c r="S781" s="352"/>
    </row>
    <row r="782">
      <c r="C782" s="181"/>
      <c r="E782" s="73"/>
      <c r="F782" s="28"/>
      <c r="G782" s="182"/>
      <c r="H782" s="350"/>
      <c r="I782" s="183"/>
      <c r="N782" s="10"/>
      <c r="O782" s="351"/>
      <c r="P782" s="351"/>
      <c r="Q782" s="314"/>
      <c r="R782" s="184"/>
      <c r="S782" s="352"/>
    </row>
    <row r="783">
      <c r="C783" s="181"/>
      <c r="E783" s="73"/>
      <c r="F783" s="28"/>
      <c r="G783" s="182"/>
      <c r="H783" s="350"/>
      <c r="I783" s="183"/>
      <c r="N783" s="10"/>
      <c r="O783" s="351"/>
      <c r="P783" s="351"/>
      <c r="Q783" s="314"/>
      <c r="R783" s="184"/>
      <c r="S783" s="352"/>
    </row>
    <row r="784">
      <c r="C784" s="181"/>
      <c r="E784" s="73"/>
      <c r="F784" s="28"/>
      <c r="G784" s="182"/>
      <c r="H784" s="350"/>
      <c r="I784" s="183"/>
      <c r="N784" s="10"/>
      <c r="O784" s="351"/>
      <c r="P784" s="351"/>
      <c r="Q784" s="314"/>
      <c r="R784" s="184"/>
      <c r="S784" s="352"/>
    </row>
    <row r="785">
      <c r="C785" s="181"/>
      <c r="E785" s="73"/>
      <c r="F785" s="28"/>
      <c r="G785" s="182"/>
      <c r="H785" s="350"/>
      <c r="I785" s="183"/>
      <c r="N785" s="10"/>
      <c r="O785" s="351"/>
      <c r="P785" s="351"/>
      <c r="Q785" s="314"/>
      <c r="R785" s="184"/>
      <c r="S785" s="352"/>
    </row>
    <row r="786">
      <c r="C786" s="181"/>
      <c r="E786" s="73"/>
      <c r="F786" s="28"/>
      <c r="G786" s="182"/>
      <c r="H786" s="350"/>
      <c r="I786" s="183"/>
      <c r="N786" s="10"/>
      <c r="O786" s="351"/>
      <c r="P786" s="351"/>
      <c r="Q786" s="314"/>
      <c r="R786" s="184"/>
      <c r="S786" s="352"/>
    </row>
    <row r="787">
      <c r="C787" s="181"/>
      <c r="E787" s="73"/>
      <c r="F787" s="28"/>
      <c r="G787" s="182"/>
      <c r="H787" s="350"/>
      <c r="I787" s="183"/>
      <c r="N787" s="10"/>
      <c r="O787" s="351"/>
      <c r="P787" s="351"/>
      <c r="Q787" s="314"/>
      <c r="R787" s="184"/>
      <c r="S787" s="352"/>
    </row>
    <row r="788">
      <c r="C788" s="181"/>
      <c r="E788" s="73"/>
      <c r="F788" s="28"/>
      <c r="G788" s="182"/>
      <c r="H788" s="350"/>
      <c r="I788" s="183"/>
      <c r="N788" s="10"/>
      <c r="O788" s="351"/>
      <c r="P788" s="351"/>
      <c r="Q788" s="314"/>
      <c r="R788" s="184"/>
      <c r="S788" s="352"/>
    </row>
    <row r="789">
      <c r="C789" s="181"/>
      <c r="E789" s="73"/>
      <c r="F789" s="28"/>
      <c r="G789" s="182"/>
      <c r="H789" s="350"/>
      <c r="I789" s="183"/>
      <c r="N789" s="10"/>
      <c r="O789" s="351"/>
      <c r="P789" s="351"/>
      <c r="Q789" s="314"/>
      <c r="R789" s="184"/>
      <c r="S789" s="352"/>
    </row>
    <row r="790">
      <c r="C790" s="181"/>
      <c r="E790" s="73"/>
      <c r="F790" s="28"/>
      <c r="G790" s="182"/>
      <c r="H790" s="350"/>
      <c r="I790" s="183"/>
      <c r="N790" s="10"/>
      <c r="O790" s="351"/>
      <c r="P790" s="351"/>
      <c r="Q790" s="314"/>
      <c r="R790" s="184"/>
      <c r="S790" s="352"/>
    </row>
    <row r="791">
      <c r="C791" s="181"/>
      <c r="E791" s="73"/>
      <c r="F791" s="28"/>
      <c r="G791" s="182"/>
      <c r="H791" s="350"/>
      <c r="I791" s="183"/>
      <c r="N791" s="10"/>
      <c r="O791" s="351"/>
      <c r="P791" s="351"/>
      <c r="Q791" s="314"/>
      <c r="R791" s="184"/>
      <c r="S791" s="352"/>
    </row>
    <row r="792">
      <c r="C792" s="181"/>
      <c r="E792" s="73"/>
      <c r="F792" s="28"/>
      <c r="G792" s="182"/>
      <c r="H792" s="350"/>
      <c r="I792" s="183"/>
      <c r="N792" s="10"/>
      <c r="O792" s="351"/>
      <c r="P792" s="351"/>
      <c r="Q792" s="314"/>
      <c r="R792" s="184"/>
      <c r="S792" s="352"/>
    </row>
    <row r="793">
      <c r="C793" s="181"/>
      <c r="E793" s="73"/>
      <c r="F793" s="28"/>
      <c r="G793" s="182"/>
      <c r="H793" s="350"/>
      <c r="I793" s="183"/>
      <c r="N793" s="10"/>
      <c r="O793" s="351"/>
      <c r="P793" s="351"/>
      <c r="Q793" s="314"/>
      <c r="R793" s="184"/>
      <c r="S793" s="352"/>
    </row>
    <row r="794">
      <c r="C794" s="181"/>
      <c r="E794" s="73"/>
      <c r="F794" s="28"/>
      <c r="G794" s="182"/>
      <c r="H794" s="350"/>
      <c r="I794" s="183"/>
      <c r="N794" s="10"/>
      <c r="O794" s="351"/>
      <c r="P794" s="351"/>
      <c r="Q794" s="314"/>
      <c r="R794" s="184"/>
      <c r="S794" s="352"/>
    </row>
    <row r="795">
      <c r="C795" s="181"/>
      <c r="E795" s="73"/>
      <c r="F795" s="28"/>
      <c r="G795" s="182"/>
      <c r="H795" s="350"/>
      <c r="I795" s="183"/>
      <c r="N795" s="10"/>
      <c r="O795" s="351"/>
      <c r="P795" s="351"/>
      <c r="Q795" s="314"/>
      <c r="R795" s="184"/>
      <c r="S795" s="352"/>
    </row>
    <row r="796">
      <c r="C796" s="181"/>
      <c r="E796" s="73"/>
      <c r="F796" s="28"/>
      <c r="G796" s="182"/>
      <c r="H796" s="350"/>
      <c r="I796" s="183"/>
      <c r="N796" s="10"/>
      <c r="O796" s="351"/>
      <c r="P796" s="351"/>
      <c r="Q796" s="314"/>
      <c r="R796" s="184"/>
      <c r="S796" s="352"/>
    </row>
    <row r="797">
      <c r="C797" s="181"/>
      <c r="E797" s="73"/>
      <c r="F797" s="28"/>
      <c r="G797" s="182"/>
      <c r="H797" s="350"/>
      <c r="I797" s="183"/>
      <c r="N797" s="10"/>
      <c r="O797" s="351"/>
      <c r="P797" s="351"/>
      <c r="Q797" s="314"/>
      <c r="R797" s="184"/>
      <c r="S797" s="352"/>
    </row>
    <row r="798">
      <c r="C798" s="181"/>
      <c r="E798" s="73"/>
      <c r="F798" s="28"/>
      <c r="G798" s="182"/>
      <c r="H798" s="350"/>
      <c r="I798" s="183"/>
      <c r="N798" s="10"/>
      <c r="O798" s="351"/>
      <c r="P798" s="351"/>
      <c r="Q798" s="314"/>
      <c r="R798" s="184"/>
      <c r="S798" s="352"/>
    </row>
    <row r="799">
      <c r="C799" s="181"/>
      <c r="E799" s="73"/>
      <c r="F799" s="28"/>
      <c r="G799" s="182"/>
      <c r="H799" s="350"/>
      <c r="I799" s="183"/>
      <c r="N799" s="10"/>
      <c r="O799" s="351"/>
      <c r="P799" s="351"/>
      <c r="Q799" s="314"/>
      <c r="R799" s="184"/>
      <c r="S799" s="352"/>
    </row>
    <row r="800">
      <c r="C800" s="181"/>
      <c r="E800" s="73"/>
      <c r="F800" s="28"/>
      <c r="G800" s="182"/>
      <c r="H800" s="350"/>
      <c r="I800" s="183"/>
      <c r="N800" s="10"/>
      <c r="O800" s="351"/>
      <c r="P800" s="351"/>
      <c r="Q800" s="314"/>
      <c r="R800" s="184"/>
      <c r="S800" s="352"/>
    </row>
    <row r="801">
      <c r="C801" s="181"/>
      <c r="E801" s="73"/>
      <c r="F801" s="28"/>
      <c r="G801" s="182"/>
      <c r="H801" s="350"/>
      <c r="I801" s="183"/>
      <c r="N801" s="10"/>
      <c r="O801" s="351"/>
      <c r="P801" s="351"/>
      <c r="Q801" s="314"/>
      <c r="R801" s="184"/>
      <c r="S801" s="352"/>
    </row>
    <row r="802">
      <c r="C802" s="181"/>
      <c r="E802" s="73"/>
      <c r="F802" s="28"/>
      <c r="G802" s="182"/>
      <c r="H802" s="350"/>
      <c r="I802" s="183"/>
      <c r="N802" s="10"/>
      <c r="O802" s="351"/>
      <c r="P802" s="351"/>
      <c r="Q802" s="314"/>
      <c r="R802" s="184"/>
      <c r="S802" s="352"/>
    </row>
    <row r="803">
      <c r="C803" s="181"/>
      <c r="E803" s="73"/>
      <c r="F803" s="28"/>
      <c r="G803" s="182"/>
      <c r="H803" s="350"/>
      <c r="I803" s="183"/>
      <c r="N803" s="10"/>
      <c r="O803" s="351"/>
      <c r="P803" s="351"/>
      <c r="Q803" s="314"/>
      <c r="R803" s="184"/>
      <c r="S803" s="352"/>
    </row>
    <row r="804">
      <c r="C804" s="181"/>
      <c r="E804" s="73"/>
      <c r="F804" s="28"/>
      <c r="G804" s="182"/>
      <c r="H804" s="350"/>
      <c r="I804" s="183"/>
      <c r="N804" s="10"/>
      <c r="O804" s="351"/>
      <c r="P804" s="351"/>
      <c r="Q804" s="314"/>
      <c r="R804" s="184"/>
      <c r="S804" s="352"/>
    </row>
    <row r="805">
      <c r="C805" s="181"/>
      <c r="E805" s="73"/>
      <c r="F805" s="28"/>
      <c r="G805" s="182"/>
      <c r="H805" s="350"/>
      <c r="I805" s="183"/>
      <c r="N805" s="10"/>
      <c r="O805" s="351"/>
      <c r="P805" s="351"/>
      <c r="Q805" s="314"/>
      <c r="R805" s="184"/>
      <c r="S805" s="352"/>
    </row>
    <row r="806">
      <c r="C806" s="181"/>
      <c r="E806" s="73"/>
      <c r="F806" s="28"/>
      <c r="G806" s="182"/>
      <c r="H806" s="350"/>
      <c r="I806" s="183"/>
      <c r="N806" s="10"/>
      <c r="O806" s="351"/>
      <c r="P806" s="351"/>
      <c r="Q806" s="314"/>
      <c r="R806" s="184"/>
      <c r="S806" s="352"/>
    </row>
    <row r="807">
      <c r="C807" s="181"/>
      <c r="E807" s="73"/>
      <c r="F807" s="28"/>
      <c r="G807" s="182"/>
      <c r="H807" s="350"/>
      <c r="I807" s="183"/>
      <c r="N807" s="10"/>
      <c r="O807" s="351"/>
      <c r="P807" s="351"/>
      <c r="Q807" s="314"/>
      <c r="R807" s="184"/>
      <c r="S807" s="352"/>
    </row>
    <row r="808">
      <c r="C808" s="181"/>
      <c r="E808" s="73"/>
      <c r="F808" s="28"/>
      <c r="G808" s="182"/>
      <c r="H808" s="350"/>
      <c r="I808" s="183"/>
      <c r="N808" s="10"/>
      <c r="O808" s="351"/>
      <c r="P808" s="351"/>
      <c r="Q808" s="314"/>
      <c r="R808" s="184"/>
      <c r="S808" s="352"/>
    </row>
    <row r="809">
      <c r="C809" s="181"/>
      <c r="E809" s="73"/>
      <c r="F809" s="28"/>
      <c r="G809" s="182"/>
      <c r="H809" s="350"/>
      <c r="I809" s="183"/>
      <c r="N809" s="10"/>
      <c r="O809" s="351"/>
      <c r="P809" s="351"/>
      <c r="Q809" s="314"/>
      <c r="R809" s="184"/>
      <c r="S809" s="352"/>
    </row>
    <row r="810">
      <c r="C810" s="181"/>
      <c r="E810" s="73"/>
      <c r="F810" s="28"/>
      <c r="G810" s="182"/>
      <c r="H810" s="350"/>
      <c r="I810" s="183"/>
      <c r="N810" s="10"/>
      <c r="O810" s="351"/>
      <c r="P810" s="351"/>
      <c r="Q810" s="314"/>
      <c r="R810" s="184"/>
      <c r="S810" s="352"/>
    </row>
    <row r="811">
      <c r="C811" s="181"/>
      <c r="E811" s="73"/>
      <c r="F811" s="28"/>
      <c r="G811" s="182"/>
      <c r="H811" s="350"/>
      <c r="I811" s="183"/>
      <c r="N811" s="10"/>
      <c r="O811" s="351"/>
      <c r="P811" s="351"/>
      <c r="Q811" s="314"/>
      <c r="R811" s="184"/>
      <c r="S811" s="352"/>
    </row>
    <row r="812">
      <c r="C812" s="181"/>
      <c r="E812" s="73"/>
      <c r="F812" s="28"/>
      <c r="G812" s="182"/>
      <c r="H812" s="350"/>
      <c r="I812" s="183"/>
      <c r="N812" s="10"/>
      <c r="O812" s="351"/>
      <c r="P812" s="351"/>
      <c r="Q812" s="314"/>
      <c r="R812" s="184"/>
      <c r="S812" s="352"/>
    </row>
    <row r="813">
      <c r="C813" s="181"/>
      <c r="E813" s="73"/>
      <c r="F813" s="28"/>
      <c r="G813" s="182"/>
      <c r="H813" s="350"/>
      <c r="I813" s="183"/>
      <c r="N813" s="10"/>
      <c r="O813" s="351"/>
      <c r="P813" s="351"/>
      <c r="Q813" s="314"/>
      <c r="R813" s="184"/>
      <c r="S813" s="352"/>
    </row>
    <row r="814">
      <c r="C814" s="181"/>
      <c r="E814" s="73"/>
      <c r="F814" s="28"/>
      <c r="G814" s="182"/>
      <c r="H814" s="350"/>
      <c r="I814" s="183"/>
      <c r="N814" s="10"/>
      <c r="O814" s="351"/>
      <c r="P814" s="351"/>
      <c r="Q814" s="314"/>
      <c r="R814" s="184"/>
      <c r="S814" s="352"/>
    </row>
    <row r="815">
      <c r="C815" s="181"/>
      <c r="E815" s="73"/>
      <c r="F815" s="28"/>
      <c r="G815" s="182"/>
      <c r="H815" s="350"/>
      <c r="I815" s="183"/>
      <c r="N815" s="10"/>
      <c r="O815" s="351"/>
      <c r="P815" s="351"/>
      <c r="Q815" s="314"/>
      <c r="R815" s="184"/>
      <c r="S815" s="352"/>
    </row>
    <row r="816">
      <c r="C816" s="181"/>
      <c r="E816" s="73"/>
      <c r="F816" s="28"/>
      <c r="G816" s="182"/>
      <c r="H816" s="350"/>
      <c r="I816" s="183"/>
      <c r="N816" s="10"/>
      <c r="O816" s="351"/>
      <c r="P816" s="351"/>
      <c r="Q816" s="314"/>
      <c r="R816" s="184"/>
      <c r="S816" s="352"/>
    </row>
    <row r="817">
      <c r="C817" s="181"/>
      <c r="E817" s="73"/>
      <c r="F817" s="28"/>
      <c r="G817" s="182"/>
      <c r="H817" s="350"/>
      <c r="I817" s="183"/>
      <c r="N817" s="10"/>
      <c r="O817" s="351"/>
      <c r="P817" s="351"/>
      <c r="Q817" s="314"/>
      <c r="R817" s="184"/>
      <c r="S817" s="352"/>
    </row>
    <row r="818">
      <c r="C818" s="181"/>
      <c r="E818" s="73"/>
      <c r="F818" s="28"/>
      <c r="G818" s="182"/>
      <c r="H818" s="350"/>
      <c r="I818" s="183"/>
      <c r="N818" s="10"/>
      <c r="O818" s="351"/>
      <c r="P818" s="351"/>
      <c r="Q818" s="314"/>
      <c r="R818" s="184"/>
      <c r="S818" s="352"/>
    </row>
    <row r="819">
      <c r="C819" s="181"/>
      <c r="E819" s="73"/>
      <c r="F819" s="28"/>
      <c r="G819" s="182"/>
      <c r="H819" s="350"/>
      <c r="I819" s="183"/>
      <c r="N819" s="10"/>
      <c r="O819" s="351"/>
      <c r="P819" s="351"/>
      <c r="Q819" s="314"/>
      <c r="R819" s="184"/>
      <c r="S819" s="352"/>
    </row>
    <row r="820">
      <c r="C820" s="181"/>
      <c r="E820" s="73"/>
      <c r="F820" s="28"/>
      <c r="G820" s="182"/>
      <c r="H820" s="350"/>
      <c r="I820" s="183"/>
      <c r="N820" s="10"/>
      <c r="O820" s="351"/>
      <c r="P820" s="351"/>
      <c r="Q820" s="314"/>
      <c r="R820" s="184"/>
      <c r="S820" s="352"/>
    </row>
    <row r="821">
      <c r="C821" s="181"/>
      <c r="E821" s="73"/>
      <c r="F821" s="28"/>
      <c r="G821" s="182"/>
      <c r="H821" s="350"/>
      <c r="I821" s="183"/>
      <c r="N821" s="10"/>
      <c r="O821" s="351"/>
      <c r="P821" s="351"/>
      <c r="Q821" s="314"/>
      <c r="R821" s="184"/>
      <c r="S821" s="352"/>
    </row>
    <row r="822">
      <c r="C822" s="181"/>
      <c r="E822" s="73"/>
      <c r="F822" s="28"/>
      <c r="G822" s="182"/>
      <c r="H822" s="350"/>
      <c r="I822" s="183"/>
      <c r="N822" s="10"/>
      <c r="O822" s="351"/>
      <c r="P822" s="351"/>
      <c r="Q822" s="314"/>
      <c r="R822" s="184"/>
      <c r="S822" s="352"/>
    </row>
    <row r="823">
      <c r="C823" s="181"/>
      <c r="E823" s="73"/>
      <c r="F823" s="28"/>
      <c r="G823" s="182"/>
      <c r="H823" s="350"/>
      <c r="I823" s="183"/>
      <c r="N823" s="10"/>
      <c r="O823" s="351"/>
      <c r="P823" s="351"/>
      <c r="Q823" s="314"/>
      <c r="R823" s="184"/>
      <c r="S823" s="352"/>
    </row>
    <row r="824">
      <c r="C824" s="181"/>
      <c r="E824" s="73"/>
      <c r="F824" s="28"/>
      <c r="G824" s="182"/>
      <c r="H824" s="350"/>
      <c r="I824" s="183"/>
      <c r="N824" s="10"/>
      <c r="O824" s="351"/>
      <c r="P824" s="351"/>
      <c r="Q824" s="314"/>
      <c r="R824" s="184"/>
      <c r="S824" s="352"/>
    </row>
    <row r="825">
      <c r="C825" s="181"/>
      <c r="E825" s="73"/>
      <c r="F825" s="28"/>
      <c r="G825" s="182"/>
      <c r="H825" s="350"/>
      <c r="I825" s="183"/>
      <c r="N825" s="10"/>
      <c r="O825" s="351"/>
      <c r="P825" s="351"/>
      <c r="Q825" s="314"/>
      <c r="R825" s="184"/>
      <c r="S825" s="352"/>
    </row>
    <row r="826">
      <c r="C826" s="181"/>
      <c r="E826" s="73"/>
      <c r="F826" s="28"/>
      <c r="G826" s="182"/>
      <c r="H826" s="350"/>
      <c r="I826" s="183"/>
      <c r="N826" s="10"/>
      <c r="O826" s="351"/>
      <c r="P826" s="351"/>
      <c r="Q826" s="314"/>
      <c r="R826" s="184"/>
      <c r="S826" s="352"/>
    </row>
    <row r="827">
      <c r="C827" s="181"/>
      <c r="E827" s="73"/>
      <c r="F827" s="28"/>
      <c r="G827" s="182"/>
      <c r="H827" s="350"/>
      <c r="I827" s="183"/>
      <c r="N827" s="10"/>
      <c r="O827" s="351"/>
      <c r="P827" s="351"/>
      <c r="Q827" s="314"/>
      <c r="R827" s="184"/>
      <c r="S827" s="352"/>
    </row>
    <row r="828">
      <c r="C828" s="181"/>
      <c r="E828" s="73"/>
      <c r="F828" s="28"/>
      <c r="G828" s="182"/>
      <c r="H828" s="350"/>
      <c r="I828" s="183"/>
      <c r="N828" s="10"/>
      <c r="O828" s="351"/>
      <c r="P828" s="351"/>
      <c r="Q828" s="314"/>
      <c r="R828" s="184"/>
      <c r="S828" s="352"/>
    </row>
    <row r="829">
      <c r="C829" s="181"/>
      <c r="E829" s="73"/>
      <c r="F829" s="28"/>
      <c r="G829" s="182"/>
      <c r="H829" s="350"/>
      <c r="I829" s="183"/>
      <c r="N829" s="10"/>
      <c r="O829" s="351"/>
      <c r="P829" s="351"/>
      <c r="Q829" s="314"/>
      <c r="R829" s="184"/>
      <c r="S829" s="352"/>
    </row>
    <row r="830">
      <c r="C830" s="181"/>
      <c r="E830" s="73"/>
      <c r="F830" s="28"/>
      <c r="G830" s="182"/>
      <c r="H830" s="350"/>
      <c r="I830" s="183"/>
      <c r="N830" s="10"/>
      <c r="O830" s="351"/>
      <c r="P830" s="351"/>
      <c r="Q830" s="314"/>
      <c r="R830" s="184"/>
      <c r="S830" s="352"/>
    </row>
    <row r="831">
      <c r="C831" s="181"/>
      <c r="E831" s="73"/>
      <c r="F831" s="28"/>
      <c r="G831" s="182"/>
      <c r="H831" s="350"/>
      <c r="I831" s="183"/>
      <c r="N831" s="10"/>
      <c r="O831" s="351"/>
      <c r="P831" s="351"/>
      <c r="Q831" s="314"/>
      <c r="R831" s="184"/>
      <c r="S831" s="352"/>
    </row>
    <row r="832">
      <c r="C832" s="181"/>
      <c r="E832" s="73"/>
      <c r="F832" s="28"/>
      <c r="G832" s="182"/>
      <c r="H832" s="350"/>
      <c r="I832" s="183"/>
      <c r="N832" s="10"/>
      <c r="O832" s="351"/>
      <c r="P832" s="351"/>
      <c r="Q832" s="314"/>
      <c r="R832" s="184"/>
      <c r="S832" s="352"/>
    </row>
    <row r="833">
      <c r="C833" s="181"/>
      <c r="E833" s="73"/>
      <c r="F833" s="28"/>
      <c r="G833" s="182"/>
      <c r="H833" s="350"/>
      <c r="I833" s="183"/>
      <c r="N833" s="10"/>
      <c r="O833" s="351"/>
      <c r="P833" s="351"/>
      <c r="Q833" s="314"/>
      <c r="R833" s="184"/>
      <c r="S833" s="352"/>
    </row>
    <row r="834">
      <c r="C834" s="181"/>
      <c r="E834" s="73"/>
      <c r="F834" s="28"/>
      <c r="G834" s="182"/>
      <c r="H834" s="350"/>
      <c r="I834" s="183"/>
      <c r="N834" s="10"/>
      <c r="O834" s="351"/>
      <c r="P834" s="351"/>
      <c r="Q834" s="314"/>
      <c r="R834" s="184"/>
      <c r="S834" s="352"/>
    </row>
    <row r="835">
      <c r="C835" s="181"/>
      <c r="E835" s="73"/>
      <c r="F835" s="28"/>
      <c r="G835" s="182"/>
      <c r="H835" s="350"/>
      <c r="I835" s="183"/>
      <c r="N835" s="10"/>
      <c r="O835" s="351"/>
      <c r="P835" s="351"/>
      <c r="Q835" s="314"/>
      <c r="R835" s="184"/>
      <c r="S835" s="352"/>
    </row>
    <row r="836">
      <c r="C836" s="181"/>
      <c r="E836" s="73"/>
      <c r="F836" s="28"/>
      <c r="G836" s="182"/>
      <c r="H836" s="350"/>
      <c r="I836" s="183"/>
      <c r="N836" s="10"/>
      <c r="O836" s="351"/>
      <c r="P836" s="351"/>
      <c r="Q836" s="314"/>
      <c r="R836" s="184"/>
      <c r="S836" s="352"/>
    </row>
    <row r="837">
      <c r="C837" s="181"/>
      <c r="E837" s="73"/>
      <c r="F837" s="28"/>
      <c r="G837" s="182"/>
      <c r="H837" s="350"/>
      <c r="I837" s="183"/>
      <c r="N837" s="10"/>
      <c r="O837" s="351"/>
      <c r="P837" s="351"/>
      <c r="Q837" s="314"/>
      <c r="R837" s="184"/>
      <c r="S837" s="352"/>
    </row>
    <row r="838">
      <c r="C838" s="181"/>
      <c r="E838" s="73"/>
      <c r="F838" s="28"/>
      <c r="G838" s="182"/>
      <c r="H838" s="350"/>
      <c r="I838" s="183"/>
      <c r="N838" s="10"/>
      <c r="O838" s="351"/>
      <c r="P838" s="351"/>
      <c r="Q838" s="314"/>
      <c r="R838" s="184"/>
      <c r="S838" s="352"/>
    </row>
    <row r="839">
      <c r="C839" s="181"/>
      <c r="E839" s="73"/>
      <c r="F839" s="28"/>
      <c r="G839" s="182"/>
      <c r="H839" s="350"/>
      <c r="I839" s="183"/>
      <c r="N839" s="10"/>
      <c r="O839" s="351"/>
      <c r="P839" s="351"/>
      <c r="Q839" s="314"/>
      <c r="R839" s="184"/>
      <c r="S839" s="352"/>
    </row>
    <row r="840">
      <c r="C840" s="181"/>
      <c r="E840" s="73"/>
      <c r="F840" s="28"/>
      <c r="G840" s="182"/>
      <c r="H840" s="350"/>
      <c r="I840" s="183"/>
      <c r="N840" s="10"/>
      <c r="O840" s="351"/>
      <c r="P840" s="351"/>
      <c r="Q840" s="314"/>
      <c r="R840" s="184"/>
      <c r="S840" s="352"/>
    </row>
    <row r="841">
      <c r="C841" s="181"/>
      <c r="E841" s="73"/>
      <c r="F841" s="28"/>
      <c r="G841" s="182"/>
      <c r="H841" s="350"/>
      <c r="I841" s="183"/>
      <c r="N841" s="10"/>
      <c r="O841" s="351"/>
      <c r="P841" s="351"/>
      <c r="Q841" s="314"/>
      <c r="R841" s="184"/>
      <c r="S841" s="352"/>
    </row>
    <row r="842">
      <c r="C842" s="181"/>
      <c r="E842" s="73"/>
      <c r="F842" s="28"/>
      <c r="G842" s="182"/>
      <c r="H842" s="350"/>
      <c r="I842" s="183"/>
      <c r="N842" s="10"/>
      <c r="O842" s="351"/>
      <c r="P842" s="351"/>
      <c r="Q842" s="314"/>
      <c r="R842" s="184"/>
      <c r="S842" s="352"/>
    </row>
    <row r="843">
      <c r="C843" s="181"/>
      <c r="E843" s="73"/>
      <c r="F843" s="28"/>
      <c r="G843" s="182"/>
      <c r="H843" s="350"/>
      <c r="I843" s="183"/>
      <c r="N843" s="10"/>
      <c r="O843" s="351"/>
      <c r="P843" s="351"/>
      <c r="Q843" s="314"/>
      <c r="R843" s="184"/>
      <c r="S843" s="352"/>
    </row>
    <row r="844">
      <c r="C844" s="181"/>
      <c r="E844" s="73"/>
      <c r="F844" s="28"/>
      <c r="G844" s="182"/>
      <c r="H844" s="350"/>
      <c r="I844" s="183"/>
      <c r="N844" s="10"/>
      <c r="O844" s="351"/>
      <c r="P844" s="351"/>
      <c r="Q844" s="314"/>
      <c r="R844" s="184"/>
      <c r="S844" s="352"/>
    </row>
    <row r="845">
      <c r="C845" s="181"/>
      <c r="E845" s="73"/>
      <c r="F845" s="28"/>
      <c r="G845" s="182"/>
      <c r="H845" s="350"/>
      <c r="I845" s="183"/>
      <c r="N845" s="10"/>
      <c r="O845" s="351"/>
      <c r="P845" s="351"/>
      <c r="Q845" s="314"/>
      <c r="R845" s="184"/>
      <c r="S845" s="352"/>
    </row>
    <row r="846">
      <c r="C846" s="181"/>
      <c r="E846" s="73"/>
      <c r="F846" s="28"/>
      <c r="G846" s="182"/>
      <c r="H846" s="350"/>
      <c r="I846" s="183"/>
      <c r="N846" s="10"/>
      <c r="O846" s="351"/>
      <c r="P846" s="351"/>
      <c r="Q846" s="314"/>
      <c r="R846" s="184"/>
      <c r="S846" s="352"/>
    </row>
    <row r="847">
      <c r="C847" s="181"/>
      <c r="E847" s="73"/>
      <c r="F847" s="28"/>
      <c r="G847" s="182"/>
      <c r="H847" s="350"/>
      <c r="I847" s="183"/>
      <c r="N847" s="10"/>
      <c r="O847" s="351"/>
      <c r="P847" s="351"/>
      <c r="Q847" s="314"/>
      <c r="R847" s="184"/>
      <c r="S847" s="352"/>
    </row>
    <row r="848">
      <c r="C848" s="181"/>
      <c r="E848" s="73"/>
      <c r="F848" s="28"/>
      <c r="G848" s="182"/>
      <c r="H848" s="350"/>
      <c r="I848" s="183"/>
      <c r="N848" s="10"/>
      <c r="O848" s="351"/>
      <c r="P848" s="351"/>
      <c r="Q848" s="314"/>
      <c r="R848" s="184"/>
      <c r="S848" s="352"/>
    </row>
    <row r="849">
      <c r="C849" s="181"/>
      <c r="E849" s="73"/>
      <c r="F849" s="28"/>
      <c r="G849" s="182"/>
      <c r="H849" s="350"/>
      <c r="I849" s="183"/>
      <c r="N849" s="10"/>
      <c r="O849" s="351"/>
      <c r="P849" s="351"/>
      <c r="Q849" s="314"/>
      <c r="R849" s="184"/>
      <c r="S849" s="352"/>
    </row>
    <row r="850">
      <c r="C850" s="181"/>
      <c r="E850" s="73"/>
      <c r="F850" s="28"/>
      <c r="G850" s="182"/>
      <c r="H850" s="350"/>
      <c r="I850" s="183"/>
      <c r="N850" s="10"/>
      <c r="O850" s="351"/>
      <c r="P850" s="351"/>
      <c r="Q850" s="314"/>
      <c r="R850" s="184"/>
      <c r="S850" s="352"/>
    </row>
    <row r="851">
      <c r="C851" s="181"/>
      <c r="E851" s="73"/>
      <c r="F851" s="28"/>
      <c r="G851" s="182"/>
      <c r="H851" s="350"/>
      <c r="I851" s="183"/>
      <c r="N851" s="10"/>
      <c r="O851" s="351"/>
      <c r="P851" s="351"/>
      <c r="Q851" s="314"/>
      <c r="R851" s="184"/>
      <c r="S851" s="352"/>
    </row>
    <row r="852">
      <c r="C852" s="181"/>
      <c r="E852" s="73"/>
      <c r="F852" s="28"/>
      <c r="G852" s="182"/>
      <c r="H852" s="350"/>
      <c r="I852" s="183"/>
      <c r="N852" s="10"/>
      <c r="O852" s="351"/>
      <c r="P852" s="351"/>
      <c r="Q852" s="314"/>
      <c r="R852" s="184"/>
      <c r="S852" s="352"/>
    </row>
    <row r="853">
      <c r="C853" s="181"/>
      <c r="E853" s="73"/>
      <c r="F853" s="28"/>
      <c r="G853" s="182"/>
      <c r="H853" s="350"/>
      <c r="I853" s="183"/>
      <c r="N853" s="10"/>
      <c r="O853" s="351"/>
      <c r="P853" s="351"/>
      <c r="Q853" s="314"/>
      <c r="R853" s="184"/>
      <c r="S853" s="352"/>
    </row>
    <row r="854">
      <c r="C854" s="181"/>
      <c r="E854" s="73"/>
      <c r="F854" s="28"/>
      <c r="G854" s="182"/>
      <c r="H854" s="350"/>
      <c r="I854" s="183"/>
      <c r="N854" s="10"/>
      <c r="O854" s="351"/>
      <c r="P854" s="351"/>
      <c r="Q854" s="314"/>
      <c r="R854" s="184"/>
      <c r="S854" s="352"/>
    </row>
    <row r="855">
      <c r="C855" s="181"/>
      <c r="E855" s="73"/>
      <c r="F855" s="28"/>
      <c r="G855" s="182"/>
      <c r="H855" s="350"/>
      <c r="I855" s="183"/>
      <c r="N855" s="10"/>
      <c r="O855" s="351"/>
      <c r="P855" s="351"/>
      <c r="Q855" s="314"/>
      <c r="R855" s="184"/>
      <c r="S855" s="352"/>
    </row>
    <row r="856">
      <c r="C856" s="181"/>
      <c r="E856" s="73"/>
      <c r="F856" s="28"/>
      <c r="G856" s="182"/>
      <c r="H856" s="350"/>
      <c r="I856" s="183"/>
      <c r="N856" s="10"/>
      <c r="O856" s="351"/>
      <c r="P856" s="351"/>
      <c r="Q856" s="314"/>
      <c r="R856" s="184"/>
      <c r="S856" s="352"/>
    </row>
    <row r="857">
      <c r="C857" s="181"/>
      <c r="E857" s="73"/>
      <c r="F857" s="28"/>
      <c r="G857" s="182"/>
      <c r="H857" s="350"/>
      <c r="I857" s="183"/>
      <c r="N857" s="10"/>
      <c r="O857" s="351"/>
      <c r="P857" s="351"/>
      <c r="Q857" s="314"/>
      <c r="R857" s="184"/>
      <c r="S857" s="352"/>
    </row>
    <row r="858">
      <c r="C858" s="181"/>
      <c r="E858" s="73"/>
      <c r="F858" s="28"/>
      <c r="G858" s="182"/>
      <c r="H858" s="350"/>
      <c r="I858" s="183"/>
      <c r="N858" s="10"/>
      <c r="O858" s="351"/>
      <c r="P858" s="351"/>
      <c r="Q858" s="314"/>
      <c r="R858" s="184"/>
      <c r="S858" s="352"/>
    </row>
    <row r="859">
      <c r="C859" s="181"/>
      <c r="E859" s="73"/>
      <c r="F859" s="28"/>
      <c r="G859" s="182"/>
      <c r="H859" s="350"/>
      <c r="I859" s="183"/>
      <c r="N859" s="10"/>
      <c r="O859" s="351"/>
      <c r="P859" s="351"/>
      <c r="Q859" s="314"/>
      <c r="R859" s="184"/>
      <c r="S859" s="352"/>
    </row>
    <row r="860">
      <c r="C860" s="181"/>
      <c r="E860" s="73"/>
      <c r="F860" s="28"/>
      <c r="G860" s="182"/>
      <c r="H860" s="350"/>
      <c r="I860" s="183"/>
      <c r="N860" s="10"/>
      <c r="O860" s="351"/>
      <c r="P860" s="351"/>
      <c r="Q860" s="314"/>
      <c r="R860" s="184"/>
      <c r="S860" s="352"/>
    </row>
    <row r="861">
      <c r="C861" s="181"/>
      <c r="E861" s="73"/>
      <c r="F861" s="28"/>
      <c r="G861" s="182"/>
      <c r="H861" s="350"/>
      <c r="I861" s="183"/>
      <c r="N861" s="10"/>
      <c r="O861" s="351"/>
      <c r="P861" s="351"/>
      <c r="Q861" s="314"/>
      <c r="R861" s="184"/>
      <c r="S861" s="352"/>
    </row>
    <row r="862">
      <c r="C862" s="181"/>
      <c r="E862" s="73"/>
      <c r="F862" s="28"/>
      <c r="G862" s="182"/>
      <c r="H862" s="350"/>
      <c r="I862" s="183"/>
      <c r="N862" s="10"/>
      <c r="O862" s="351"/>
      <c r="P862" s="351"/>
      <c r="Q862" s="314"/>
      <c r="R862" s="184"/>
      <c r="S862" s="352"/>
    </row>
    <row r="863">
      <c r="C863" s="181"/>
      <c r="E863" s="73"/>
      <c r="F863" s="28"/>
      <c r="G863" s="182"/>
      <c r="H863" s="350"/>
      <c r="I863" s="183"/>
      <c r="N863" s="10"/>
      <c r="O863" s="351"/>
      <c r="P863" s="351"/>
      <c r="Q863" s="314"/>
      <c r="R863" s="184"/>
      <c r="S863" s="352"/>
    </row>
    <row r="864">
      <c r="C864" s="181"/>
      <c r="E864" s="73"/>
      <c r="F864" s="28"/>
      <c r="G864" s="182"/>
      <c r="H864" s="350"/>
      <c r="I864" s="183"/>
      <c r="N864" s="10"/>
      <c r="O864" s="351"/>
      <c r="P864" s="351"/>
      <c r="Q864" s="314"/>
      <c r="R864" s="184"/>
      <c r="S864" s="352"/>
    </row>
    <row r="865">
      <c r="C865" s="181"/>
      <c r="E865" s="73"/>
      <c r="F865" s="28"/>
      <c r="G865" s="182"/>
      <c r="H865" s="350"/>
      <c r="I865" s="183"/>
      <c r="N865" s="10"/>
      <c r="O865" s="351"/>
      <c r="P865" s="351"/>
      <c r="Q865" s="314"/>
      <c r="R865" s="184"/>
      <c r="S865" s="352"/>
    </row>
    <row r="866">
      <c r="C866" s="181"/>
      <c r="E866" s="73"/>
      <c r="F866" s="28"/>
      <c r="G866" s="182"/>
      <c r="H866" s="350"/>
      <c r="I866" s="183"/>
      <c r="N866" s="10"/>
      <c r="O866" s="351"/>
      <c r="P866" s="351"/>
      <c r="Q866" s="314"/>
      <c r="R866" s="184"/>
      <c r="S866" s="352"/>
    </row>
    <row r="867">
      <c r="C867" s="181"/>
      <c r="E867" s="73"/>
      <c r="F867" s="28"/>
      <c r="G867" s="182"/>
      <c r="H867" s="350"/>
      <c r="I867" s="183"/>
      <c r="N867" s="10"/>
      <c r="O867" s="351"/>
      <c r="P867" s="351"/>
      <c r="Q867" s="314"/>
      <c r="R867" s="184"/>
      <c r="S867" s="352"/>
    </row>
    <row r="868">
      <c r="C868" s="181"/>
      <c r="E868" s="73"/>
      <c r="F868" s="28"/>
      <c r="G868" s="182"/>
      <c r="H868" s="350"/>
      <c r="I868" s="183"/>
      <c r="N868" s="10"/>
      <c r="O868" s="351"/>
      <c r="P868" s="351"/>
      <c r="Q868" s="314"/>
      <c r="R868" s="184"/>
      <c r="S868" s="352"/>
    </row>
    <row r="869">
      <c r="C869" s="181"/>
      <c r="E869" s="73"/>
      <c r="F869" s="28"/>
      <c r="G869" s="182"/>
      <c r="H869" s="350"/>
      <c r="I869" s="183"/>
      <c r="N869" s="10"/>
      <c r="O869" s="351"/>
      <c r="P869" s="351"/>
      <c r="Q869" s="314"/>
      <c r="R869" s="184"/>
      <c r="S869" s="352"/>
    </row>
    <row r="870">
      <c r="C870" s="181"/>
      <c r="E870" s="73"/>
      <c r="F870" s="28"/>
      <c r="G870" s="182"/>
      <c r="H870" s="350"/>
      <c r="I870" s="183"/>
      <c r="N870" s="10"/>
      <c r="O870" s="351"/>
      <c r="P870" s="351"/>
      <c r="Q870" s="314"/>
      <c r="R870" s="184"/>
      <c r="S870" s="352"/>
    </row>
    <row r="871">
      <c r="C871" s="181"/>
      <c r="E871" s="73"/>
      <c r="F871" s="28"/>
      <c r="G871" s="182"/>
      <c r="H871" s="350"/>
      <c r="I871" s="183"/>
      <c r="N871" s="10"/>
      <c r="O871" s="351"/>
      <c r="P871" s="351"/>
      <c r="Q871" s="314"/>
      <c r="R871" s="184"/>
      <c r="S871" s="352"/>
    </row>
    <row r="872">
      <c r="C872" s="181"/>
      <c r="E872" s="73"/>
      <c r="F872" s="28"/>
      <c r="G872" s="182"/>
      <c r="H872" s="350"/>
      <c r="I872" s="183"/>
      <c r="N872" s="10"/>
      <c r="O872" s="351"/>
      <c r="P872" s="351"/>
      <c r="Q872" s="314"/>
      <c r="R872" s="184"/>
      <c r="S872" s="352"/>
    </row>
    <row r="873">
      <c r="C873" s="181"/>
      <c r="E873" s="73"/>
      <c r="F873" s="28"/>
      <c r="G873" s="182"/>
      <c r="H873" s="350"/>
      <c r="I873" s="183"/>
      <c r="N873" s="10"/>
      <c r="O873" s="351"/>
      <c r="P873" s="351"/>
      <c r="Q873" s="314"/>
      <c r="R873" s="184"/>
      <c r="S873" s="352"/>
    </row>
    <row r="874">
      <c r="C874" s="181"/>
      <c r="E874" s="73"/>
      <c r="F874" s="28"/>
      <c r="G874" s="182"/>
      <c r="H874" s="350"/>
      <c r="I874" s="183"/>
      <c r="N874" s="10"/>
      <c r="O874" s="351"/>
      <c r="P874" s="351"/>
      <c r="Q874" s="314"/>
      <c r="R874" s="184"/>
      <c r="S874" s="352"/>
    </row>
    <row r="875">
      <c r="C875" s="181"/>
      <c r="E875" s="73"/>
      <c r="F875" s="28"/>
      <c r="G875" s="182"/>
      <c r="H875" s="350"/>
      <c r="I875" s="183"/>
      <c r="N875" s="10"/>
      <c r="O875" s="351"/>
      <c r="P875" s="351"/>
      <c r="Q875" s="314"/>
      <c r="R875" s="184"/>
      <c r="S875" s="352"/>
    </row>
    <row r="876">
      <c r="C876" s="181"/>
      <c r="E876" s="73"/>
      <c r="F876" s="28"/>
      <c r="G876" s="182"/>
      <c r="H876" s="350"/>
      <c r="I876" s="183"/>
      <c r="N876" s="10"/>
      <c r="O876" s="351"/>
      <c r="P876" s="351"/>
      <c r="Q876" s="314"/>
      <c r="R876" s="184"/>
      <c r="S876" s="352"/>
    </row>
    <row r="877">
      <c r="C877" s="181"/>
      <c r="E877" s="73"/>
      <c r="F877" s="28"/>
      <c r="G877" s="182"/>
      <c r="H877" s="350"/>
      <c r="I877" s="183"/>
      <c r="N877" s="10"/>
      <c r="O877" s="351"/>
      <c r="P877" s="351"/>
      <c r="Q877" s="314"/>
      <c r="R877" s="184"/>
      <c r="S877" s="352"/>
    </row>
    <row r="878">
      <c r="C878" s="181"/>
      <c r="E878" s="73"/>
      <c r="F878" s="28"/>
      <c r="G878" s="182"/>
      <c r="H878" s="350"/>
      <c r="I878" s="183"/>
      <c r="N878" s="10"/>
      <c r="O878" s="351"/>
      <c r="P878" s="351"/>
      <c r="Q878" s="314"/>
      <c r="R878" s="184"/>
      <c r="S878" s="352"/>
    </row>
    <row r="879">
      <c r="C879" s="181"/>
      <c r="E879" s="73"/>
      <c r="F879" s="28"/>
      <c r="G879" s="182"/>
      <c r="H879" s="350"/>
      <c r="I879" s="183"/>
      <c r="N879" s="10"/>
      <c r="O879" s="351"/>
      <c r="P879" s="351"/>
      <c r="Q879" s="314"/>
      <c r="R879" s="184"/>
      <c r="S879" s="352"/>
    </row>
    <row r="880">
      <c r="C880" s="181"/>
      <c r="E880" s="73"/>
      <c r="F880" s="28"/>
      <c r="G880" s="182"/>
      <c r="H880" s="350"/>
      <c r="I880" s="183"/>
      <c r="N880" s="10"/>
      <c r="O880" s="351"/>
      <c r="P880" s="351"/>
      <c r="Q880" s="314"/>
      <c r="R880" s="184"/>
      <c r="S880" s="352"/>
    </row>
    <row r="881">
      <c r="C881" s="181"/>
      <c r="E881" s="73"/>
      <c r="F881" s="28"/>
      <c r="G881" s="182"/>
      <c r="H881" s="350"/>
      <c r="I881" s="183"/>
      <c r="N881" s="10"/>
      <c r="O881" s="351"/>
      <c r="P881" s="351"/>
      <c r="Q881" s="314"/>
      <c r="R881" s="184"/>
      <c r="S881" s="352"/>
    </row>
    <row r="882">
      <c r="C882" s="181"/>
      <c r="E882" s="73"/>
      <c r="F882" s="28"/>
      <c r="G882" s="182"/>
      <c r="H882" s="350"/>
      <c r="I882" s="183"/>
      <c r="N882" s="10"/>
      <c r="O882" s="351"/>
      <c r="P882" s="351"/>
      <c r="Q882" s="314"/>
      <c r="R882" s="184"/>
      <c r="S882" s="352"/>
    </row>
    <row r="883">
      <c r="C883" s="181"/>
      <c r="E883" s="73"/>
      <c r="F883" s="28"/>
      <c r="G883" s="182"/>
      <c r="H883" s="350"/>
      <c r="I883" s="183"/>
      <c r="N883" s="10"/>
      <c r="O883" s="351"/>
      <c r="P883" s="351"/>
      <c r="Q883" s="314"/>
      <c r="R883" s="184"/>
      <c r="S883" s="352"/>
    </row>
    <row r="884">
      <c r="C884" s="181"/>
      <c r="E884" s="73"/>
      <c r="F884" s="28"/>
      <c r="G884" s="182"/>
      <c r="H884" s="350"/>
      <c r="I884" s="183"/>
      <c r="N884" s="10"/>
      <c r="O884" s="351"/>
      <c r="P884" s="351"/>
      <c r="Q884" s="314"/>
      <c r="R884" s="184"/>
      <c r="S884" s="352"/>
    </row>
    <row r="885">
      <c r="C885" s="181"/>
      <c r="E885" s="73"/>
      <c r="F885" s="28"/>
      <c r="G885" s="182"/>
      <c r="H885" s="350"/>
      <c r="I885" s="183"/>
      <c r="N885" s="10"/>
      <c r="O885" s="351"/>
      <c r="P885" s="351"/>
      <c r="Q885" s="314"/>
      <c r="R885" s="184"/>
      <c r="S885" s="352"/>
    </row>
    <row r="886">
      <c r="C886" s="181"/>
      <c r="E886" s="73"/>
      <c r="F886" s="28"/>
      <c r="G886" s="182"/>
      <c r="H886" s="350"/>
      <c r="I886" s="183"/>
      <c r="N886" s="10"/>
      <c r="O886" s="351"/>
      <c r="P886" s="351"/>
      <c r="Q886" s="314"/>
      <c r="R886" s="184"/>
      <c r="S886" s="352"/>
    </row>
    <row r="887">
      <c r="C887" s="181"/>
      <c r="E887" s="73"/>
      <c r="F887" s="28"/>
      <c r="G887" s="182"/>
      <c r="H887" s="350"/>
      <c r="I887" s="183"/>
      <c r="N887" s="10"/>
      <c r="O887" s="351"/>
      <c r="P887" s="351"/>
      <c r="Q887" s="314"/>
      <c r="R887" s="184"/>
      <c r="S887" s="352"/>
    </row>
    <row r="888">
      <c r="C888" s="181"/>
      <c r="E888" s="73"/>
      <c r="F888" s="28"/>
      <c r="G888" s="182"/>
      <c r="H888" s="350"/>
      <c r="I888" s="183"/>
      <c r="N888" s="10"/>
      <c r="O888" s="351"/>
      <c r="P888" s="351"/>
      <c r="Q888" s="314"/>
      <c r="R888" s="184"/>
      <c r="S888" s="352"/>
    </row>
    <row r="889">
      <c r="C889" s="181"/>
      <c r="E889" s="73"/>
      <c r="F889" s="28"/>
      <c r="G889" s="182"/>
      <c r="H889" s="350"/>
      <c r="I889" s="183"/>
      <c r="N889" s="10"/>
      <c r="O889" s="351"/>
      <c r="P889" s="351"/>
      <c r="Q889" s="314"/>
      <c r="R889" s="184"/>
      <c r="S889" s="352"/>
    </row>
    <row r="890">
      <c r="C890" s="181"/>
      <c r="E890" s="73"/>
      <c r="F890" s="28"/>
      <c r="G890" s="182"/>
      <c r="H890" s="350"/>
      <c r="I890" s="183"/>
      <c r="N890" s="10"/>
      <c r="O890" s="351"/>
      <c r="P890" s="351"/>
      <c r="Q890" s="314"/>
      <c r="R890" s="184"/>
      <c r="S890" s="352"/>
    </row>
    <row r="891">
      <c r="C891" s="181"/>
      <c r="E891" s="73"/>
      <c r="F891" s="28"/>
      <c r="G891" s="182"/>
      <c r="H891" s="350"/>
      <c r="I891" s="183"/>
      <c r="N891" s="10"/>
      <c r="O891" s="351"/>
      <c r="P891" s="351"/>
      <c r="Q891" s="314"/>
      <c r="R891" s="184"/>
      <c r="S891" s="352"/>
    </row>
    <row r="892">
      <c r="C892" s="181"/>
      <c r="E892" s="73"/>
      <c r="F892" s="28"/>
      <c r="G892" s="182"/>
      <c r="H892" s="350"/>
      <c r="I892" s="183"/>
      <c r="N892" s="10"/>
      <c r="O892" s="351"/>
      <c r="P892" s="351"/>
      <c r="Q892" s="314"/>
      <c r="R892" s="184"/>
      <c r="S892" s="352"/>
    </row>
    <row r="893">
      <c r="C893" s="181"/>
      <c r="E893" s="73"/>
      <c r="F893" s="28"/>
      <c r="G893" s="182"/>
      <c r="H893" s="350"/>
      <c r="I893" s="183"/>
      <c r="N893" s="10"/>
      <c r="O893" s="351"/>
      <c r="P893" s="351"/>
      <c r="Q893" s="314"/>
      <c r="R893" s="184"/>
      <c r="S893" s="352"/>
    </row>
    <row r="894">
      <c r="C894" s="181"/>
      <c r="E894" s="73"/>
      <c r="F894" s="28"/>
      <c r="G894" s="182"/>
      <c r="H894" s="350"/>
      <c r="I894" s="183"/>
      <c r="N894" s="10"/>
      <c r="O894" s="351"/>
      <c r="P894" s="351"/>
      <c r="Q894" s="314"/>
      <c r="R894" s="184"/>
      <c r="S894" s="352"/>
    </row>
  </sheetData>
  <mergeCells count="20">
    <mergeCell ref="D3:D6"/>
    <mergeCell ref="A7:D7"/>
    <mergeCell ref="B12:C12"/>
    <mergeCell ref="D1:F1"/>
    <mergeCell ref="H1:I1"/>
    <mergeCell ref="K1:N1"/>
    <mergeCell ref="Q1:T1"/>
    <mergeCell ref="G5:H5"/>
    <mergeCell ref="L6:M6"/>
    <mergeCell ref="R6:S6"/>
    <mergeCell ref="A13:I13"/>
    <mergeCell ref="J13:N13"/>
    <mergeCell ref="O13:S13"/>
    <mergeCell ref="F7:I7"/>
    <mergeCell ref="K7:N7"/>
    <mergeCell ref="L8:N8"/>
    <mergeCell ref="P8:Q8"/>
    <mergeCell ref="L9:N9"/>
    <mergeCell ref="L10:N10"/>
    <mergeCell ref="G12:H12"/>
  </mergeCells>
  <conditionalFormatting sqref="A13:I13">
    <cfRule type="notContainsBlanks" dxfId="0" priority="1">
      <formula>LEN(TRIM(A13))&gt;0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2" max="2" width="19.88"/>
  </cols>
  <sheetData>
    <row r="1" ht="37.5" customHeight="1">
      <c r="A1" s="89" t="s">
        <v>329</v>
      </c>
      <c r="B1" s="89" t="s">
        <v>330</v>
      </c>
      <c r="C1" s="90" t="s">
        <v>331</v>
      </c>
      <c r="D1" s="89" t="s">
        <v>332</v>
      </c>
      <c r="E1" s="89" t="s">
        <v>333</v>
      </c>
      <c r="F1" s="12" t="s">
        <v>334</v>
      </c>
      <c r="G1" s="353" t="s">
        <v>134</v>
      </c>
      <c r="H1" s="45" t="s">
        <v>135</v>
      </c>
    </row>
    <row r="2" ht="30.0" customHeight="1">
      <c r="A2" s="16" t="s">
        <v>335</v>
      </c>
      <c r="B2" s="16" t="s">
        <v>336</v>
      </c>
      <c r="C2" s="49">
        <v>25.0</v>
      </c>
      <c r="D2" s="16">
        <v>2.0</v>
      </c>
      <c r="E2" s="16">
        <v>2.0</v>
      </c>
      <c r="F2" s="354">
        <f t="shared" ref="F2:F24" si="1">SUM(E2*C2)</f>
        <v>50</v>
      </c>
      <c r="G2" s="355">
        <v>0.2</v>
      </c>
      <c r="H2" s="356">
        <f t="shared" ref="H2:H24" si="2">SUM((F2*G2)+F2)</f>
        <v>60</v>
      </c>
      <c r="J2" s="357" t="s">
        <v>337</v>
      </c>
    </row>
    <row r="3" ht="30.0" customHeight="1">
      <c r="A3" s="16" t="s">
        <v>338</v>
      </c>
      <c r="B3" s="16" t="s">
        <v>339</v>
      </c>
      <c r="C3" s="49">
        <v>16.0</v>
      </c>
      <c r="D3" s="16">
        <v>2.0</v>
      </c>
      <c r="E3" s="16">
        <v>10.5</v>
      </c>
      <c r="F3" s="354">
        <f t="shared" si="1"/>
        <v>168</v>
      </c>
      <c r="G3" s="355">
        <v>0.4</v>
      </c>
      <c r="H3" s="356">
        <f t="shared" si="2"/>
        <v>235.2</v>
      </c>
    </row>
    <row r="4" ht="30.0" customHeight="1">
      <c r="A4" s="16" t="s">
        <v>340</v>
      </c>
      <c r="B4" s="16" t="s">
        <v>339</v>
      </c>
      <c r="C4" s="49">
        <v>22.0</v>
      </c>
      <c r="D4" s="16">
        <v>0.0</v>
      </c>
      <c r="E4" s="16">
        <v>0.0</v>
      </c>
      <c r="F4" s="354">
        <f t="shared" si="1"/>
        <v>0</v>
      </c>
      <c r="G4" s="355">
        <v>0.4</v>
      </c>
      <c r="H4" s="356">
        <f t="shared" si="2"/>
        <v>0</v>
      </c>
    </row>
    <row r="5" ht="30.0" customHeight="1">
      <c r="A5" s="358" t="s">
        <v>338</v>
      </c>
      <c r="B5" s="359" t="s">
        <v>341</v>
      </c>
      <c r="C5" s="360">
        <v>15.0</v>
      </c>
      <c r="D5" s="359">
        <v>9.0</v>
      </c>
      <c r="E5" s="359">
        <v>9.0</v>
      </c>
      <c r="F5" s="354">
        <f t="shared" si="1"/>
        <v>135</v>
      </c>
      <c r="G5" s="361">
        <v>0.4</v>
      </c>
      <c r="H5" s="362">
        <f t="shared" si="2"/>
        <v>189</v>
      </c>
    </row>
    <row r="6" ht="30.0" customHeight="1">
      <c r="A6" s="16" t="s">
        <v>342</v>
      </c>
      <c r="B6" s="16" t="s">
        <v>336</v>
      </c>
      <c r="C6" s="49">
        <v>30.0</v>
      </c>
      <c r="D6" s="16">
        <v>1.0</v>
      </c>
      <c r="E6" s="16">
        <v>1.0</v>
      </c>
      <c r="F6" s="354">
        <f t="shared" si="1"/>
        <v>30</v>
      </c>
      <c r="G6" s="355">
        <v>0.4</v>
      </c>
      <c r="H6" s="356">
        <f t="shared" si="2"/>
        <v>42</v>
      </c>
    </row>
    <row r="7" ht="30.0" customHeight="1">
      <c r="A7" s="16" t="s">
        <v>343</v>
      </c>
      <c r="B7" s="16" t="s">
        <v>336</v>
      </c>
      <c r="C7" s="49">
        <v>24.0</v>
      </c>
      <c r="D7" s="16">
        <v>2.0</v>
      </c>
      <c r="E7" s="16">
        <v>4.0</v>
      </c>
      <c r="F7" s="354">
        <f t="shared" si="1"/>
        <v>96</v>
      </c>
      <c r="G7" s="355">
        <v>0.4</v>
      </c>
      <c r="H7" s="356">
        <f t="shared" si="2"/>
        <v>134.4</v>
      </c>
    </row>
    <row r="8" ht="30.0" customHeight="1">
      <c r="A8" s="16" t="s">
        <v>344</v>
      </c>
      <c r="B8" s="16" t="s">
        <v>336</v>
      </c>
      <c r="C8" s="49">
        <v>15.0</v>
      </c>
      <c r="D8" s="16">
        <v>2.0</v>
      </c>
      <c r="E8" s="16">
        <v>2.0</v>
      </c>
      <c r="F8" s="354">
        <f t="shared" si="1"/>
        <v>30</v>
      </c>
      <c r="G8" s="355">
        <v>0.4</v>
      </c>
      <c r="H8" s="356">
        <f t="shared" si="2"/>
        <v>42</v>
      </c>
      <c r="K8" s="363"/>
    </row>
    <row r="9" ht="30.0" customHeight="1">
      <c r="A9" s="16" t="s">
        <v>335</v>
      </c>
      <c r="B9" s="16" t="s">
        <v>345</v>
      </c>
      <c r="C9" s="49">
        <v>27.65</v>
      </c>
      <c r="D9" s="16">
        <v>0.75</v>
      </c>
      <c r="E9" s="16">
        <v>0.75</v>
      </c>
      <c r="F9" s="354">
        <f t="shared" si="1"/>
        <v>20.7375</v>
      </c>
      <c r="G9" s="355">
        <v>0.2</v>
      </c>
      <c r="H9" s="356">
        <f t="shared" si="2"/>
        <v>24.885</v>
      </c>
      <c r="K9" s="363"/>
    </row>
    <row r="10" ht="30.0" customHeight="1">
      <c r="A10" s="16" t="s">
        <v>346</v>
      </c>
      <c r="B10" s="16" t="s">
        <v>336</v>
      </c>
      <c r="C10" s="49">
        <v>15.0</v>
      </c>
      <c r="D10" s="16">
        <v>0.274</v>
      </c>
      <c r="E10" s="16">
        <v>0.99</v>
      </c>
      <c r="F10" s="354">
        <f t="shared" si="1"/>
        <v>14.85</v>
      </c>
      <c r="G10" s="355">
        <v>0.4</v>
      </c>
      <c r="H10" s="356">
        <f t="shared" si="2"/>
        <v>20.79</v>
      </c>
      <c r="K10" s="363"/>
    </row>
    <row r="11" ht="30.0" customHeight="1">
      <c r="A11" s="16" t="s">
        <v>347</v>
      </c>
      <c r="B11" s="16" t="s">
        <v>339</v>
      </c>
      <c r="C11" s="49">
        <v>12.0</v>
      </c>
      <c r="D11" s="16">
        <v>0.5</v>
      </c>
      <c r="E11" s="16">
        <v>0.6</v>
      </c>
      <c r="F11" s="354">
        <f t="shared" si="1"/>
        <v>7.2</v>
      </c>
      <c r="G11" s="355">
        <v>0.4</v>
      </c>
      <c r="H11" s="356">
        <f t="shared" si="2"/>
        <v>10.08</v>
      </c>
      <c r="K11" s="363"/>
    </row>
    <row r="12" ht="30.0" customHeight="1">
      <c r="A12" s="16" t="s">
        <v>348</v>
      </c>
      <c r="B12" s="16" t="s">
        <v>336</v>
      </c>
      <c r="C12" s="49">
        <v>12.0</v>
      </c>
      <c r="D12" s="16">
        <v>2.0</v>
      </c>
      <c r="E12" s="16">
        <v>1.644</v>
      </c>
      <c r="F12" s="354">
        <f t="shared" si="1"/>
        <v>19.728</v>
      </c>
      <c r="G12" s="355">
        <v>0.4</v>
      </c>
      <c r="H12" s="356">
        <f t="shared" si="2"/>
        <v>27.6192</v>
      </c>
      <c r="K12" s="363"/>
    </row>
    <row r="13" ht="30.0" customHeight="1">
      <c r="A13" s="16" t="s">
        <v>349</v>
      </c>
      <c r="B13" s="16" t="s">
        <v>336</v>
      </c>
      <c r="C13" s="49">
        <v>10.0</v>
      </c>
      <c r="D13" s="16">
        <v>2.0</v>
      </c>
      <c r="E13" s="16">
        <v>2.0</v>
      </c>
      <c r="F13" s="354">
        <f t="shared" si="1"/>
        <v>20</v>
      </c>
      <c r="G13" s="355">
        <v>0.4</v>
      </c>
      <c r="H13" s="356">
        <f t="shared" si="2"/>
        <v>28</v>
      </c>
      <c r="K13" s="363"/>
    </row>
    <row r="14" ht="24.0" customHeight="1">
      <c r="A14" s="16" t="s">
        <v>350</v>
      </c>
      <c r="B14" s="16" t="s">
        <v>336</v>
      </c>
      <c r="C14" s="49">
        <v>15.0</v>
      </c>
      <c r="D14" s="16">
        <v>2.0</v>
      </c>
      <c r="E14" s="364">
        <v>3.35</v>
      </c>
      <c r="F14" s="354">
        <f t="shared" si="1"/>
        <v>50.25</v>
      </c>
      <c r="G14" s="355">
        <v>0.2</v>
      </c>
      <c r="H14" s="356">
        <f t="shared" si="2"/>
        <v>60.3</v>
      </c>
      <c r="I14" s="365">
        <v>20.0</v>
      </c>
      <c r="K14" s="363"/>
    </row>
    <row r="15" ht="23.25" customHeight="1">
      <c r="A15" s="16" t="s">
        <v>351</v>
      </c>
      <c r="B15" s="16" t="s">
        <v>339</v>
      </c>
      <c r="C15" s="49">
        <v>16.0</v>
      </c>
      <c r="D15" s="364">
        <v>1.0</v>
      </c>
      <c r="E15" s="364">
        <v>2.877</v>
      </c>
      <c r="F15" s="354">
        <f t="shared" si="1"/>
        <v>46.032</v>
      </c>
      <c r="G15" s="366">
        <v>0.4</v>
      </c>
      <c r="H15" s="356">
        <f t="shared" si="2"/>
        <v>64.4448</v>
      </c>
    </row>
    <row r="16" ht="22.5" customHeight="1">
      <c r="A16" s="16" t="s">
        <v>352</v>
      </c>
      <c r="B16" s="16" t="s">
        <v>339</v>
      </c>
      <c r="C16" s="49">
        <v>19.0</v>
      </c>
      <c r="D16" s="364">
        <v>1.0</v>
      </c>
      <c r="E16" s="364">
        <v>1.1645</v>
      </c>
      <c r="F16" s="354">
        <f t="shared" si="1"/>
        <v>22.1255</v>
      </c>
      <c r="G16" s="367">
        <v>0.4</v>
      </c>
      <c r="H16" s="368">
        <f t="shared" si="2"/>
        <v>30.9757</v>
      </c>
    </row>
    <row r="17" ht="28.5" customHeight="1">
      <c r="A17" s="16" t="s">
        <v>353</v>
      </c>
      <c r="B17" s="16" t="s">
        <v>339</v>
      </c>
      <c r="C17" s="49">
        <v>26.0</v>
      </c>
      <c r="D17" s="364">
        <v>1.0</v>
      </c>
      <c r="E17" s="364">
        <v>3.288</v>
      </c>
      <c r="F17" s="354">
        <f t="shared" si="1"/>
        <v>85.488</v>
      </c>
      <c r="G17" s="367">
        <v>0.4</v>
      </c>
      <c r="H17" s="368">
        <f t="shared" si="2"/>
        <v>119.6832</v>
      </c>
    </row>
    <row r="18" ht="24.75" customHeight="1">
      <c r="A18" s="16" t="s">
        <v>354</v>
      </c>
      <c r="B18" s="16" t="s">
        <v>339</v>
      </c>
      <c r="C18" s="49">
        <v>11.0</v>
      </c>
      <c r="D18" s="364">
        <v>1.0</v>
      </c>
      <c r="E18" s="364">
        <v>1.0</v>
      </c>
      <c r="F18" s="354">
        <f t="shared" si="1"/>
        <v>11</v>
      </c>
      <c r="G18" s="367">
        <v>0.4</v>
      </c>
      <c r="H18" s="368">
        <f t="shared" si="2"/>
        <v>15.4</v>
      </c>
    </row>
    <row r="19" ht="27.0" customHeight="1">
      <c r="A19" s="16" t="s">
        <v>355</v>
      </c>
      <c r="B19" s="16" t="s">
        <v>339</v>
      </c>
      <c r="C19" s="49">
        <v>13.0</v>
      </c>
      <c r="D19" s="364">
        <v>1.0</v>
      </c>
      <c r="E19" s="364">
        <v>1.0</v>
      </c>
      <c r="F19" s="354">
        <f t="shared" si="1"/>
        <v>13</v>
      </c>
      <c r="G19" s="367">
        <v>0.4</v>
      </c>
      <c r="H19" s="368">
        <f t="shared" si="2"/>
        <v>18.2</v>
      </c>
    </row>
    <row r="20">
      <c r="A20" s="16"/>
      <c r="B20" s="369"/>
      <c r="C20" s="370"/>
      <c r="D20" s="371">
        <v>0.0</v>
      </c>
      <c r="E20" s="371"/>
      <c r="F20" s="354">
        <f t="shared" si="1"/>
        <v>0</v>
      </c>
      <c r="G20" s="367">
        <v>0.4</v>
      </c>
      <c r="H20" s="368">
        <f t="shared" si="2"/>
        <v>0</v>
      </c>
    </row>
    <row r="21">
      <c r="A21" s="372"/>
      <c r="B21" s="369"/>
      <c r="C21" s="370"/>
      <c r="D21" s="371">
        <v>0.0</v>
      </c>
      <c r="E21" s="371"/>
      <c r="F21" s="354">
        <f t="shared" si="1"/>
        <v>0</v>
      </c>
      <c r="G21" s="367">
        <v>0.4</v>
      </c>
      <c r="H21" s="368">
        <f t="shared" si="2"/>
        <v>0</v>
      </c>
    </row>
    <row r="22">
      <c r="A22" s="372"/>
      <c r="B22" s="369"/>
      <c r="C22" s="370"/>
      <c r="D22" s="371">
        <v>0.0</v>
      </c>
      <c r="E22" s="371"/>
      <c r="F22" s="354">
        <f t="shared" si="1"/>
        <v>0</v>
      </c>
      <c r="G22" s="367">
        <v>0.4</v>
      </c>
      <c r="H22" s="368">
        <f t="shared" si="2"/>
        <v>0</v>
      </c>
    </row>
    <row r="23">
      <c r="A23" s="372"/>
      <c r="B23" s="369"/>
      <c r="C23" s="370"/>
      <c r="D23" s="371">
        <v>0.0</v>
      </c>
      <c r="E23" s="371"/>
      <c r="F23" s="354">
        <f t="shared" si="1"/>
        <v>0</v>
      </c>
      <c r="G23" s="367">
        <v>0.4</v>
      </c>
      <c r="H23" s="368">
        <f t="shared" si="2"/>
        <v>0</v>
      </c>
    </row>
    <row r="24">
      <c r="A24" s="372"/>
      <c r="B24" s="369"/>
      <c r="C24" s="370"/>
      <c r="D24" s="371">
        <v>0.0</v>
      </c>
      <c r="E24" s="371"/>
      <c r="F24" s="354">
        <f t="shared" si="1"/>
        <v>0</v>
      </c>
      <c r="G24" s="367">
        <v>0.4</v>
      </c>
      <c r="H24" s="368">
        <f t="shared" si="2"/>
        <v>0</v>
      </c>
    </row>
    <row r="25">
      <c r="C25" s="10"/>
      <c r="F25" s="26"/>
      <c r="G25" s="373"/>
      <c r="H25" s="73"/>
    </row>
    <row r="26">
      <c r="C26" s="10"/>
      <c r="F26" s="26"/>
      <c r="G26" s="373"/>
      <c r="H26" s="73"/>
    </row>
    <row r="27">
      <c r="C27" s="10"/>
      <c r="F27" s="26"/>
      <c r="G27" s="373"/>
      <c r="H27" s="73"/>
    </row>
    <row r="28">
      <c r="C28" s="10"/>
      <c r="F28" s="26"/>
      <c r="G28" s="373"/>
      <c r="H28" s="73"/>
    </row>
    <row r="29">
      <c r="C29" s="10"/>
      <c r="F29" s="26"/>
      <c r="G29" s="373"/>
      <c r="H29" s="73"/>
    </row>
    <row r="30">
      <c r="C30" s="10"/>
      <c r="F30" s="26"/>
      <c r="G30" s="373"/>
      <c r="H30" s="73"/>
    </row>
    <row r="31">
      <c r="C31" s="10"/>
      <c r="F31" s="26"/>
      <c r="G31" s="373"/>
      <c r="H31" s="73"/>
    </row>
    <row r="32">
      <c r="C32" s="10"/>
      <c r="F32" s="26"/>
      <c r="G32" s="373"/>
      <c r="H32" s="73"/>
    </row>
    <row r="33">
      <c r="C33" s="10"/>
      <c r="F33" s="26"/>
      <c r="G33" s="373"/>
      <c r="H33" s="73"/>
    </row>
    <row r="34">
      <c r="C34" s="10"/>
      <c r="F34" s="26"/>
      <c r="G34" s="373"/>
      <c r="H34" s="73"/>
    </row>
    <row r="35">
      <c r="C35" s="10"/>
      <c r="F35" s="26"/>
      <c r="G35" s="373"/>
      <c r="H35" s="73"/>
    </row>
    <row r="36">
      <c r="C36" s="10"/>
      <c r="F36" s="26"/>
      <c r="G36" s="373"/>
      <c r="H36" s="73"/>
    </row>
    <row r="37">
      <c r="C37" s="10"/>
      <c r="F37" s="26"/>
      <c r="G37" s="373"/>
      <c r="H37" s="73"/>
    </row>
    <row r="38">
      <c r="C38" s="10"/>
      <c r="F38" s="26"/>
      <c r="G38" s="373"/>
      <c r="H38" s="73"/>
    </row>
    <row r="39">
      <c r="C39" s="10"/>
      <c r="F39" s="26"/>
      <c r="G39" s="373"/>
      <c r="H39" s="73"/>
    </row>
    <row r="40">
      <c r="C40" s="10"/>
      <c r="F40" s="26"/>
      <c r="G40" s="373"/>
      <c r="H40" s="73"/>
    </row>
    <row r="41">
      <c r="C41" s="10"/>
      <c r="F41" s="26"/>
      <c r="G41" s="373"/>
      <c r="H41" s="73"/>
    </row>
    <row r="42">
      <c r="C42" s="10"/>
      <c r="F42" s="26"/>
      <c r="G42" s="373"/>
      <c r="H42" s="73"/>
    </row>
    <row r="43">
      <c r="C43" s="10"/>
      <c r="F43" s="26"/>
      <c r="G43" s="373"/>
      <c r="H43" s="73"/>
    </row>
    <row r="44">
      <c r="C44" s="10"/>
      <c r="F44" s="26"/>
      <c r="G44" s="373"/>
      <c r="H44" s="73"/>
    </row>
    <row r="45">
      <c r="C45" s="10"/>
      <c r="F45" s="26"/>
      <c r="G45" s="373"/>
      <c r="H45" s="73"/>
    </row>
    <row r="46">
      <c r="C46" s="10"/>
      <c r="F46" s="26"/>
      <c r="G46" s="373"/>
      <c r="H46" s="73"/>
    </row>
    <row r="47">
      <c r="C47" s="10"/>
      <c r="F47" s="26"/>
      <c r="G47" s="373"/>
      <c r="H47" s="73"/>
    </row>
    <row r="48">
      <c r="C48" s="10"/>
      <c r="F48" s="26"/>
      <c r="G48" s="373"/>
      <c r="H48" s="73"/>
    </row>
    <row r="49">
      <c r="C49" s="10"/>
      <c r="F49" s="26"/>
      <c r="G49" s="373"/>
      <c r="H49" s="73"/>
    </row>
    <row r="50">
      <c r="C50" s="10"/>
      <c r="F50" s="26"/>
      <c r="G50" s="373"/>
      <c r="H50" s="73"/>
    </row>
    <row r="51">
      <c r="C51" s="10"/>
      <c r="F51" s="26"/>
      <c r="G51" s="373"/>
      <c r="H51" s="73"/>
    </row>
    <row r="52">
      <c r="C52" s="10"/>
      <c r="F52" s="26"/>
      <c r="G52" s="373"/>
      <c r="H52" s="73"/>
    </row>
    <row r="53">
      <c r="C53" s="10"/>
      <c r="F53" s="26"/>
      <c r="G53" s="373"/>
      <c r="H53" s="73"/>
    </row>
    <row r="54">
      <c r="C54" s="10"/>
      <c r="F54" s="26"/>
      <c r="G54" s="373"/>
      <c r="H54" s="73"/>
    </row>
    <row r="55">
      <c r="C55" s="10"/>
      <c r="F55" s="26"/>
      <c r="G55" s="373"/>
      <c r="H55" s="73"/>
    </row>
    <row r="56">
      <c r="C56" s="10"/>
      <c r="F56" s="26"/>
      <c r="G56" s="373"/>
      <c r="H56" s="73"/>
    </row>
    <row r="57">
      <c r="C57" s="10"/>
      <c r="F57" s="26"/>
      <c r="G57" s="373"/>
      <c r="H57" s="73"/>
    </row>
    <row r="58">
      <c r="C58" s="10"/>
      <c r="F58" s="26"/>
      <c r="G58" s="373"/>
      <c r="H58" s="73"/>
    </row>
    <row r="59">
      <c r="C59" s="10"/>
      <c r="F59" s="26"/>
      <c r="G59" s="373"/>
      <c r="H59" s="73"/>
    </row>
    <row r="60">
      <c r="C60" s="10"/>
      <c r="F60" s="26"/>
      <c r="G60" s="373"/>
      <c r="H60" s="73"/>
    </row>
    <row r="61">
      <c r="C61" s="10"/>
      <c r="F61" s="26"/>
      <c r="G61" s="373"/>
      <c r="H61" s="73"/>
    </row>
    <row r="62">
      <c r="C62" s="10"/>
      <c r="F62" s="26"/>
      <c r="G62" s="373"/>
      <c r="H62" s="73"/>
    </row>
    <row r="63">
      <c r="C63" s="10"/>
      <c r="F63" s="26"/>
      <c r="G63" s="373"/>
      <c r="H63" s="73"/>
    </row>
    <row r="64">
      <c r="C64" s="10"/>
      <c r="F64" s="26"/>
      <c r="G64" s="373"/>
      <c r="H64" s="73"/>
    </row>
    <row r="65">
      <c r="C65" s="10"/>
      <c r="F65" s="26"/>
      <c r="G65" s="373"/>
      <c r="H65" s="73"/>
    </row>
    <row r="66">
      <c r="C66" s="10"/>
      <c r="F66" s="26"/>
      <c r="G66" s="373"/>
      <c r="H66" s="73"/>
    </row>
    <row r="67">
      <c r="C67" s="10"/>
      <c r="F67" s="26"/>
      <c r="G67" s="373"/>
      <c r="H67" s="73"/>
    </row>
    <row r="68">
      <c r="C68" s="10"/>
      <c r="F68" s="26"/>
      <c r="G68" s="373"/>
      <c r="H68" s="73"/>
    </row>
    <row r="69">
      <c r="C69" s="10"/>
      <c r="F69" s="26"/>
      <c r="G69" s="373"/>
      <c r="H69" s="73"/>
    </row>
    <row r="70">
      <c r="C70" s="10"/>
      <c r="F70" s="26"/>
      <c r="G70" s="373"/>
      <c r="H70" s="73"/>
    </row>
    <row r="71">
      <c r="C71" s="10"/>
      <c r="F71" s="26"/>
      <c r="G71" s="373"/>
      <c r="H71" s="73"/>
    </row>
    <row r="72">
      <c r="C72" s="10"/>
      <c r="F72" s="26"/>
      <c r="G72" s="373"/>
      <c r="H72" s="73"/>
    </row>
    <row r="73">
      <c r="C73" s="10"/>
      <c r="F73" s="26"/>
      <c r="G73" s="373"/>
      <c r="H73" s="73"/>
    </row>
    <row r="74">
      <c r="C74" s="10"/>
      <c r="F74" s="26"/>
      <c r="G74" s="373"/>
      <c r="H74" s="73"/>
    </row>
    <row r="75">
      <c r="C75" s="10"/>
      <c r="F75" s="26"/>
      <c r="G75" s="373"/>
      <c r="H75" s="73"/>
    </row>
    <row r="76">
      <c r="C76" s="10"/>
      <c r="F76" s="26"/>
      <c r="G76" s="373"/>
      <c r="H76" s="73"/>
    </row>
    <row r="77">
      <c r="C77" s="10"/>
      <c r="F77" s="26"/>
      <c r="G77" s="373"/>
      <c r="H77" s="73"/>
    </row>
    <row r="78">
      <c r="C78" s="10"/>
      <c r="F78" s="26"/>
      <c r="G78" s="373"/>
      <c r="H78" s="73"/>
    </row>
    <row r="79">
      <c r="C79" s="10"/>
      <c r="F79" s="26"/>
      <c r="G79" s="373"/>
      <c r="H79" s="73"/>
    </row>
    <row r="80">
      <c r="C80" s="10"/>
      <c r="F80" s="26"/>
      <c r="G80" s="373"/>
      <c r="H80" s="73"/>
    </row>
    <row r="81">
      <c r="C81" s="10"/>
      <c r="F81" s="26"/>
      <c r="G81" s="373"/>
      <c r="H81" s="73"/>
    </row>
    <row r="82">
      <c r="C82" s="10"/>
      <c r="F82" s="26"/>
      <c r="G82" s="373"/>
      <c r="H82" s="73"/>
    </row>
    <row r="83">
      <c r="C83" s="10"/>
      <c r="F83" s="26"/>
      <c r="G83" s="373"/>
      <c r="H83" s="73"/>
    </row>
    <row r="84">
      <c r="C84" s="10"/>
      <c r="F84" s="26"/>
      <c r="G84" s="373"/>
      <c r="H84" s="73"/>
    </row>
    <row r="85">
      <c r="C85" s="10"/>
      <c r="F85" s="26"/>
      <c r="G85" s="373"/>
      <c r="H85" s="73"/>
    </row>
    <row r="86">
      <c r="C86" s="10"/>
      <c r="F86" s="26"/>
      <c r="G86" s="373"/>
      <c r="H86" s="73"/>
    </row>
    <row r="87">
      <c r="C87" s="10"/>
      <c r="F87" s="26"/>
      <c r="G87" s="373"/>
      <c r="H87" s="73"/>
    </row>
    <row r="88">
      <c r="C88" s="10"/>
      <c r="F88" s="26"/>
      <c r="G88" s="373"/>
      <c r="H88" s="73"/>
    </row>
    <row r="89">
      <c r="C89" s="10"/>
      <c r="F89" s="26"/>
      <c r="G89" s="373"/>
      <c r="H89" s="73"/>
    </row>
    <row r="90">
      <c r="C90" s="10"/>
      <c r="F90" s="26"/>
      <c r="G90" s="373"/>
      <c r="H90" s="73"/>
    </row>
    <row r="91">
      <c r="C91" s="10"/>
      <c r="F91" s="26"/>
      <c r="G91" s="373"/>
      <c r="H91" s="73"/>
    </row>
    <row r="92">
      <c r="C92" s="10"/>
      <c r="F92" s="26"/>
      <c r="G92" s="373"/>
      <c r="H92" s="73"/>
    </row>
    <row r="93">
      <c r="C93" s="10"/>
      <c r="F93" s="26"/>
      <c r="G93" s="373"/>
      <c r="H93" s="73"/>
    </row>
    <row r="94">
      <c r="C94" s="10"/>
      <c r="F94" s="26"/>
      <c r="G94" s="373"/>
      <c r="H94" s="73"/>
    </row>
    <row r="95">
      <c r="C95" s="10"/>
      <c r="F95" s="26"/>
      <c r="G95" s="373"/>
      <c r="H95" s="73"/>
    </row>
    <row r="96">
      <c r="C96" s="10"/>
      <c r="F96" s="26"/>
      <c r="G96" s="373"/>
      <c r="H96" s="73"/>
    </row>
    <row r="97">
      <c r="C97" s="10"/>
      <c r="F97" s="26"/>
      <c r="G97" s="373"/>
      <c r="H97" s="73"/>
    </row>
    <row r="98">
      <c r="C98" s="10"/>
      <c r="F98" s="26"/>
      <c r="G98" s="373"/>
      <c r="H98" s="73"/>
    </row>
    <row r="99">
      <c r="C99" s="10"/>
      <c r="F99" s="26"/>
      <c r="G99" s="373"/>
      <c r="H99" s="73"/>
    </row>
    <row r="100">
      <c r="C100" s="10"/>
      <c r="F100" s="26"/>
      <c r="G100" s="373"/>
      <c r="H100" s="73"/>
    </row>
    <row r="101">
      <c r="C101" s="10"/>
      <c r="F101" s="26"/>
      <c r="G101" s="373"/>
      <c r="H101" s="73"/>
    </row>
    <row r="102">
      <c r="C102" s="10"/>
      <c r="F102" s="26"/>
      <c r="G102" s="373"/>
      <c r="H102" s="73"/>
    </row>
    <row r="103">
      <c r="C103" s="10"/>
      <c r="F103" s="26"/>
      <c r="G103" s="373"/>
      <c r="H103" s="73"/>
    </row>
    <row r="104">
      <c r="C104" s="10"/>
      <c r="F104" s="26"/>
      <c r="G104" s="373"/>
      <c r="H104" s="73"/>
    </row>
    <row r="105">
      <c r="C105" s="10"/>
      <c r="F105" s="26"/>
      <c r="G105" s="373"/>
      <c r="H105" s="73"/>
    </row>
    <row r="106">
      <c r="C106" s="10"/>
      <c r="F106" s="26"/>
      <c r="G106" s="373"/>
      <c r="H106" s="73"/>
    </row>
    <row r="107">
      <c r="C107" s="10"/>
      <c r="F107" s="26"/>
      <c r="G107" s="373"/>
      <c r="H107" s="73"/>
    </row>
    <row r="108">
      <c r="C108" s="10"/>
      <c r="F108" s="26"/>
      <c r="G108" s="373"/>
      <c r="H108" s="73"/>
    </row>
    <row r="109">
      <c r="C109" s="10"/>
      <c r="F109" s="26"/>
      <c r="G109" s="373"/>
      <c r="H109" s="73"/>
    </row>
    <row r="110">
      <c r="C110" s="10"/>
      <c r="F110" s="26"/>
      <c r="G110" s="373"/>
      <c r="H110" s="73"/>
    </row>
    <row r="111">
      <c r="C111" s="10"/>
      <c r="F111" s="26"/>
      <c r="G111" s="373"/>
      <c r="H111" s="73"/>
    </row>
    <row r="112">
      <c r="C112" s="10"/>
      <c r="F112" s="26"/>
      <c r="G112" s="373"/>
      <c r="H112" s="73"/>
    </row>
    <row r="113">
      <c r="C113" s="10"/>
      <c r="F113" s="26"/>
      <c r="G113" s="373"/>
      <c r="H113" s="73"/>
    </row>
    <row r="114">
      <c r="C114" s="10"/>
      <c r="F114" s="26"/>
      <c r="G114" s="373"/>
      <c r="H114" s="73"/>
    </row>
    <row r="115">
      <c r="C115" s="10"/>
      <c r="F115" s="26"/>
      <c r="G115" s="373"/>
      <c r="H115" s="73"/>
    </row>
    <row r="116">
      <c r="C116" s="10"/>
      <c r="F116" s="26"/>
      <c r="G116" s="373"/>
      <c r="H116" s="73"/>
    </row>
    <row r="117">
      <c r="C117" s="10"/>
      <c r="F117" s="26"/>
      <c r="G117" s="373"/>
      <c r="H117" s="73"/>
    </row>
    <row r="118">
      <c r="C118" s="10"/>
      <c r="F118" s="26"/>
      <c r="G118" s="373"/>
      <c r="H118" s="73"/>
    </row>
    <row r="119">
      <c r="C119" s="10"/>
      <c r="F119" s="26"/>
      <c r="G119" s="373"/>
      <c r="H119" s="73"/>
    </row>
    <row r="120">
      <c r="C120" s="10"/>
      <c r="F120" s="26"/>
      <c r="G120" s="373"/>
      <c r="H120" s="73"/>
    </row>
    <row r="121">
      <c r="C121" s="10"/>
      <c r="F121" s="26"/>
      <c r="G121" s="373"/>
      <c r="H121" s="73"/>
    </row>
    <row r="122">
      <c r="C122" s="10"/>
      <c r="F122" s="26"/>
      <c r="G122" s="373"/>
      <c r="H122" s="73"/>
    </row>
    <row r="123">
      <c r="C123" s="10"/>
      <c r="F123" s="26"/>
      <c r="G123" s="373"/>
      <c r="H123" s="73"/>
    </row>
    <row r="124">
      <c r="C124" s="10"/>
      <c r="F124" s="26"/>
      <c r="G124" s="373"/>
      <c r="H124" s="73"/>
    </row>
    <row r="125">
      <c r="C125" s="10"/>
      <c r="F125" s="26"/>
      <c r="G125" s="373"/>
      <c r="H125" s="73"/>
    </row>
    <row r="126">
      <c r="C126" s="10"/>
      <c r="F126" s="26"/>
      <c r="G126" s="373"/>
      <c r="H126" s="73"/>
    </row>
    <row r="127">
      <c r="C127" s="10"/>
      <c r="F127" s="26"/>
      <c r="G127" s="373"/>
      <c r="H127" s="73"/>
    </row>
    <row r="128">
      <c r="C128" s="10"/>
      <c r="F128" s="26"/>
      <c r="G128" s="373"/>
      <c r="H128" s="73"/>
    </row>
    <row r="129">
      <c r="C129" s="10"/>
      <c r="F129" s="26"/>
      <c r="G129" s="373"/>
      <c r="H129" s="73"/>
    </row>
    <row r="130">
      <c r="C130" s="10"/>
      <c r="F130" s="26"/>
      <c r="G130" s="373"/>
      <c r="H130" s="73"/>
    </row>
    <row r="131">
      <c r="C131" s="10"/>
      <c r="F131" s="26"/>
      <c r="G131" s="373"/>
      <c r="H131" s="73"/>
    </row>
    <row r="132">
      <c r="C132" s="10"/>
      <c r="F132" s="26"/>
      <c r="G132" s="373"/>
      <c r="H132" s="73"/>
    </row>
    <row r="133">
      <c r="C133" s="10"/>
      <c r="F133" s="26"/>
      <c r="G133" s="373"/>
      <c r="H133" s="73"/>
    </row>
    <row r="134">
      <c r="C134" s="10"/>
      <c r="F134" s="26"/>
      <c r="G134" s="373"/>
      <c r="H134" s="73"/>
    </row>
    <row r="135">
      <c r="C135" s="10"/>
      <c r="F135" s="26"/>
      <c r="G135" s="373"/>
      <c r="H135" s="73"/>
    </row>
    <row r="136">
      <c r="C136" s="10"/>
      <c r="F136" s="26"/>
      <c r="G136" s="373"/>
      <c r="H136" s="73"/>
    </row>
    <row r="137">
      <c r="C137" s="10"/>
      <c r="F137" s="26"/>
      <c r="G137" s="373"/>
      <c r="H137" s="73"/>
    </row>
    <row r="138">
      <c r="C138" s="10"/>
      <c r="F138" s="26"/>
      <c r="G138" s="373"/>
      <c r="H138" s="73"/>
    </row>
    <row r="139">
      <c r="C139" s="10"/>
      <c r="F139" s="26"/>
      <c r="G139" s="373"/>
      <c r="H139" s="73"/>
    </row>
    <row r="140">
      <c r="C140" s="10"/>
      <c r="F140" s="26"/>
      <c r="G140" s="373"/>
      <c r="H140" s="73"/>
    </row>
    <row r="141">
      <c r="C141" s="10"/>
      <c r="F141" s="26"/>
      <c r="G141" s="373"/>
      <c r="H141" s="73"/>
    </row>
    <row r="142">
      <c r="C142" s="10"/>
      <c r="F142" s="26"/>
      <c r="G142" s="373"/>
      <c r="H142" s="73"/>
    </row>
    <row r="143">
      <c r="C143" s="10"/>
      <c r="F143" s="26"/>
      <c r="G143" s="373"/>
      <c r="H143" s="73"/>
    </row>
    <row r="144">
      <c r="C144" s="10"/>
      <c r="F144" s="26"/>
      <c r="G144" s="373"/>
      <c r="H144" s="73"/>
    </row>
    <row r="145">
      <c r="C145" s="10"/>
      <c r="F145" s="26"/>
      <c r="G145" s="373"/>
      <c r="H145" s="73"/>
    </row>
    <row r="146">
      <c r="C146" s="10"/>
      <c r="F146" s="26"/>
      <c r="G146" s="373"/>
      <c r="H146" s="73"/>
    </row>
    <row r="147">
      <c r="C147" s="10"/>
      <c r="F147" s="26"/>
      <c r="G147" s="373"/>
      <c r="H147" s="73"/>
    </row>
    <row r="148">
      <c r="C148" s="10"/>
      <c r="F148" s="26"/>
      <c r="G148" s="373"/>
      <c r="H148" s="73"/>
    </row>
    <row r="149">
      <c r="C149" s="10"/>
      <c r="F149" s="26"/>
      <c r="G149" s="373"/>
      <c r="H149" s="73"/>
    </row>
    <row r="150">
      <c r="C150" s="10"/>
      <c r="F150" s="26"/>
      <c r="G150" s="373"/>
      <c r="H150" s="73"/>
    </row>
    <row r="151">
      <c r="C151" s="10"/>
      <c r="F151" s="26"/>
      <c r="G151" s="373"/>
      <c r="H151" s="73"/>
    </row>
    <row r="152">
      <c r="C152" s="10"/>
      <c r="F152" s="26"/>
      <c r="G152" s="373"/>
      <c r="H152" s="73"/>
    </row>
    <row r="153">
      <c r="C153" s="10"/>
      <c r="F153" s="26"/>
      <c r="G153" s="373"/>
      <c r="H153" s="73"/>
    </row>
    <row r="154">
      <c r="C154" s="10"/>
      <c r="F154" s="26"/>
      <c r="G154" s="373"/>
      <c r="H154" s="73"/>
    </row>
    <row r="155">
      <c r="C155" s="10"/>
      <c r="F155" s="26"/>
      <c r="G155" s="373"/>
      <c r="H155" s="73"/>
    </row>
    <row r="156">
      <c r="C156" s="10"/>
      <c r="F156" s="26"/>
      <c r="G156" s="373"/>
      <c r="H156" s="73"/>
    </row>
    <row r="157">
      <c r="C157" s="10"/>
      <c r="F157" s="26"/>
      <c r="G157" s="373"/>
      <c r="H157" s="73"/>
    </row>
    <row r="158">
      <c r="C158" s="10"/>
      <c r="F158" s="26"/>
      <c r="G158" s="373"/>
      <c r="H158" s="73"/>
    </row>
    <row r="159">
      <c r="C159" s="10"/>
      <c r="F159" s="26"/>
      <c r="G159" s="373"/>
      <c r="H159" s="73"/>
    </row>
    <row r="160">
      <c r="C160" s="10"/>
      <c r="F160" s="26"/>
      <c r="G160" s="373"/>
      <c r="H160" s="73"/>
    </row>
    <row r="161">
      <c r="C161" s="10"/>
      <c r="F161" s="26"/>
      <c r="G161" s="373"/>
      <c r="H161" s="73"/>
    </row>
    <row r="162">
      <c r="C162" s="10"/>
      <c r="F162" s="26"/>
      <c r="G162" s="373"/>
      <c r="H162" s="73"/>
    </row>
    <row r="163">
      <c r="C163" s="10"/>
      <c r="F163" s="26"/>
      <c r="G163" s="373"/>
      <c r="H163" s="73"/>
    </row>
    <row r="164">
      <c r="C164" s="10"/>
      <c r="F164" s="26"/>
      <c r="G164" s="373"/>
      <c r="H164" s="73"/>
    </row>
    <row r="165">
      <c r="C165" s="10"/>
      <c r="F165" s="26"/>
      <c r="G165" s="373"/>
      <c r="H165" s="73"/>
    </row>
    <row r="166">
      <c r="C166" s="10"/>
      <c r="F166" s="26"/>
      <c r="G166" s="373"/>
      <c r="H166" s="73"/>
    </row>
    <row r="167">
      <c r="C167" s="10"/>
      <c r="F167" s="26"/>
      <c r="G167" s="373"/>
      <c r="H167" s="73"/>
    </row>
    <row r="168">
      <c r="C168" s="10"/>
      <c r="F168" s="26"/>
      <c r="G168" s="373"/>
      <c r="H168" s="73"/>
    </row>
    <row r="169">
      <c r="C169" s="10"/>
      <c r="F169" s="26"/>
      <c r="G169" s="373"/>
      <c r="H169" s="73"/>
    </row>
    <row r="170">
      <c r="C170" s="10"/>
      <c r="F170" s="26"/>
      <c r="G170" s="373"/>
      <c r="H170" s="73"/>
    </row>
    <row r="171">
      <c r="C171" s="10"/>
      <c r="F171" s="26"/>
      <c r="G171" s="373"/>
      <c r="H171" s="73"/>
    </row>
    <row r="172">
      <c r="C172" s="10"/>
      <c r="F172" s="26"/>
      <c r="G172" s="373"/>
      <c r="H172" s="73"/>
    </row>
    <row r="173">
      <c r="C173" s="10"/>
      <c r="F173" s="26"/>
      <c r="G173" s="373"/>
      <c r="H173" s="73"/>
    </row>
    <row r="174">
      <c r="C174" s="10"/>
      <c r="F174" s="26"/>
      <c r="G174" s="373"/>
      <c r="H174" s="73"/>
    </row>
    <row r="175">
      <c r="C175" s="10"/>
      <c r="F175" s="26"/>
      <c r="G175" s="373"/>
      <c r="H175" s="73"/>
    </row>
    <row r="176">
      <c r="C176" s="10"/>
      <c r="F176" s="26"/>
      <c r="G176" s="373"/>
      <c r="H176" s="73"/>
    </row>
    <row r="177">
      <c r="C177" s="10"/>
      <c r="F177" s="26"/>
      <c r="G177" s="373"/>
      <c r="H177" s="73"/>
    </row>
    <row r="178">
      <c r="C178" s="10"/>
      <c r="F178" s="26"/>
      <c r="G178" s="373"/>
      <c r="H178" s="73"/>
    </row>
    <row r="179">
      <c r="C179" s="10"/>
      <c r="F179" s="26"/>
      <c r="G179" s="373"/>
      <c r="H179" s="73"/>
    </row>
    <row r="180">
      <c r="C180" s="10"/>
      <c r="F180" s="26"/>
      <c r="G180" s="373"/>
      <c r="H180" s="73"/>
    </row>
    <row r="181">
      <c r="C181" s="10"/>
      <c r="F181" s="26"/>
      <c r="G181" s="373"/>
      <c r="H181" s="73"/>
    </row>
    <row r="182">
      <c r="C182" s="10"/>
      <c r="F182" s="26"/>
      <c r="G182" s="373"/>
      <c r="H182" s="73"/>
    </row>
    <row r="183">
      <c r="C183" s="10"/>
      <c r="F183" s="26"/>
      <c r="G183" s="373"/>
      <c r="H183" s="73"/>
    </row>
    <row r="184">
      <c r="C184" s="10"/>
      <c r="F184" s="26"/>
      <c r="G184" s="373"/>
      <c r="H184" s="73"/>
    </row>
    <row r="185">
      <c r="C185" s="10"/>
      <c r="F185" s="26"/>
      <c r="G185" s="373"/>
      <c r="H185" s="73"/>
    </row>
    <row r="186">
      <c r="C186" s="10"/>
      <c r="F186" s="26"/>
      <c r="G186" s="373"/>
      <c r="H186" s="73"/>
    </row>
    <row r="187">
      <c r="C187" s="10"/>
      <c r="F187" s="26"/>
      <c r="G187" s="373"/>
      <c r="H187" s="73"/>
    </row>
    <row r="188">
      <c r="C188" s="10"/>
      <c r="F188" s="26"/>
      <c r="G188" s="373"/>
      <c r="H188" s="73"/>
    </row>
    <row r="189">
      <c r="C189" s="10"/>
      <c r="F189" s="26"/>
      <c r="G189" s="373"/>
      <c r="H189" s="73"/>
    </row>
    <row r="190">
      <c r="C190" s="10"/>
      <c r="F190" s="26"/>
      <c r="G190" s="373"/>
      <c r="H190" s="73"/>
    </row>
    <row r="191">
      <c r="C191" s="10"/>
      <c r="F191" s="26"/>
      <c r="G191" s="373"/>
      <c r="H191" s="73"/>
    </row>
    <row r="192">
      <c r="C192" s="10"/>
      <c r="F192" s="26"/>
      <c r="G192" s="373"/>
      <c r="H192" s="73"/>
    </row>
    <row r="193">
      <c r="C193" s="10"/>
      <c r="F193" s="26"/>
      <c r="G193" s="373"/>
      <c r="H193" s="73"/>
    </row>
    <row r="194">
      <c r="C194" s="10"/>
      <c r="F194" s="26"/>
      <c r="G194" s="373"/>
      <c r="H194" s="73"/>
    </row>
    <row r="195">
      <c r="C195" s="10"/>
      <c r="F195" s="26"/>
      <c r="G195" s="373"/>
      <c r="H195" s="73"/>
    </row>
    <row r="196">
      <c r="C196" s="10"/>
      <c r="F196" s="26"/>
      <c r="G196" s="373"/>
      <c r="H196" s="73"/>
    </row>
    <row r="197">
      <c r="C197" s="10"/>
      <c r="F197" s="26"/>
      <c r="G197" s="373"/>
      <c r="H197" s="73"/>
    </row>
    <row r="198">
      <c r="C198" s="10"/>
      <c r="F198" s="26"/>
      <c r="G198" s="373"/>
      <c r="H198" s="73"/>
    </row>
    <row r="199">
      <c r="C199" s="10"/>
      <c r="F199" s="26"/>
      <c r="G199" s="373"/>
      <c r="H199" s="73"/>
    </row>
    <row r="200">
      <c r="C200" s="10"/>
      <c r="F200" s="26"/>
      <c r="G200" s="373"/>
      <c r="H200" s="73"/>
    </row>
    <row r="201">
      <c r="C201" s="10"/>
      <c r="F201" s="26"/>
      <c r="G201" s="373"/>
      <c r="H201" s="73"/>
    </row>
    <row r="202">
      <c r="C202" s="10"/>
      <c r="F202" s="26"/>
      <c r="G202" s="373"/>
      <c r="H202" s="73"/>
    </row>
    <row r="203">
      <c r="C203" s="10"/>
      <c r="F203" s="26"/>
      <c r="G203" s="373"/>
      <c r="H203" s="73"/>
    </row>
    <row r="204">
      <c r="C204" s="10"/>
      <c r="F204" s="26"/>
      <c r="G204" s="373"/>
      <c r="H204" s="73"/>
    </row>
    <row r="205">
      <c r="C205" s="10"/>
      <c r="F205" s="26"/>
      <c r="G205" s="373"/>
      <c r="H205" s="73"/>
    </row>
    <row r="206">
      <c r="C206" s="10"/>
      <c r="F206" s="26"/>
      <c r="G206" s="373"/>
      <c r="H206" s="73"/>
    </row>
    <row r="207">
      <c r="C207" s="10"/>
      <c r="F207" s="26"/>
      <c r="G207" s="373"/>
      <c r="H207" s="73"/>
    </row>
    <row r="208">
      <c r="C208" s="10"/>
      <c r="F208" s="26"/>
      <c r="G208" s="373"/>
      <c r="H208" s="73"/>
    </row>
    <row r="209">
      <c r="C209" s="10"/>
      <c r="F209" s="26"/>
      <c r="G209" s="373"/>
      <c r="H209" s="73"/>
    </row>
    <row r="210">
      <c r="C210" s="10"/>
      <c r="F210" s="26"/>
      <c r="G210" s="373"/>
      <c r="H210" s="73"/>
    </row>
    <row r="211">
      <c r="C211" s="10"/>
      <c r="F211" s="26"/>
      <c r="G211" s="373"/>
      <c r="H211" s="73"/>
    </row>
    <row r="212">
      <c r="C212" s="10"/>
      <c r="F212" s="26"/>
      <c r="G212" s="373"/>
      <c r="H212" s="73"/>
    </row>
    <row r="213">
      <c r="C213" s="10"/>
      <c r="F213" s="26"/>
      <c r="G213" s="373"/>
      <c r="H213" s="73"/>
    </row>
    <row r="214">
      <c r="C214" s="10"/>
      <c r="F214" s="26"/>
      <c r="G214" s="373"/>
      <c r="H214" s="73"/>
    </row>
    <row r="215">
      <c r="C215" s="10"/>
      <c r="F215" s="26"/>
      <c r="G215" s="373"/>
      <c r="H215" s="73"/>
    </row>
    <row r="216">
      <c r="C216" s="10"/>
      <c r="F216" s="26"/>
      <c r="G216" s="373"/>
      <c r="H216" s="73"/>
    </row>
    <row r="217">
      <c r="C217" s="10"/>
      <c r="F217" s="26"/>
      <c r="G217" s="373"/>
      <c r="H217" s="73"/>
    </row>
    <row r="218">
      <c r="C218" s="10"/>
      <c r="F218" s="26"/>
      <c r="G218" s="373"/>
      <c r="H218" s="73"/>
    </row>
    <row r="219">
      <c r="C219" s="10"/>
      <c r="F219" s="26"/>
      <c r="G219" s="373"/>
      <c r="H219" s="73"/>
    </row>
    <row r="220">
      <c r="C220" s="10"/>
      <c r="F220" s="26"/>
      <c r="G220" s="373"/>
      <c r="H220" s="73"/>
    </row>
    <row r="221">
      <c r="C221" s="10"/>
      <c r="F221" s="26"/>
      <c r="G221" s="373"/>
      <c r="H221" s="73"/>
    </row>
    <row r="222">
      <c r="C222" s="10"/>
      <c r="F222" s="26"/>
      <c r="G222" s="373"/>
      <c r="H222" s="73"/>
    </row>
    <row r="223">
      <c r="C223" s="10"/>
      <c r="F223" s="26"/>
      <c r="G223" s="373"/>
      <c r="H223" s="73"/>
    </row>
    <row r="224">
      <c r="C224" s="10"/>
      <c r="F224" s="26"/>
      <c r="G224" s="373"/>
      <c r="H224" s="73"/>
    </row>
    <row r="225">
      <c r="C225" s="10"/>
      <c r="F225" s="26"/>
      <c r="G225" s="373"/>
      <c r="H225" s="73"/>
    </row>
    <row r="226">
      <c r="C226" s="10"/>
      <c r="F226" s="26"/>
      <c r="G226" s="373"/>
      <c r="H226" s="73"/>
    </row>
    <row r="227">
      <c r="C227" s="10"/>
      <c r="F227" s="26"/>
      <c r="G227" s="373"/>
      <c r="H227" s="73"/>
    </row>
    <row r="228">
      <c r="C228" s="10"/>
      <c r="F228" s="26"/>
      <c r="G228" s="373"/>
      <c r="H228" s="73"/>
    </row>
    <row r="229">
      <c r="C229" s="10"/>
      <c r="F229" s="26"/>
      <c r="G229" s="373"/>
      <c r="H229" s="73"/>
    </row>
    <row r="230">
      <c r="C230" s="10"/>
      <c r="F230" s="26"/>
      <c r="G230" s="373"/>
      <c r="H230" s="73"/>
    </row>
    <row r="231">
      <c r="C231" s="10"/>
      <c r="F231" s="26"/>
      <c r="G231" s="373"/>
      <c r="H231" s="73"/>
    </row>
    <row r="232">
      <c r="C232" s="10"/>
      <c r="F232" s="26"/>
      <c r="G232" s="373"/>
      <c r="H232" s="73"/>
    </row>
    <row r="233">
      <c r="C233" s="10"/>
      <c r="F233" s="26"/>
      <c r="G233" s="373"/>
      <c r="H233" s="73"/>
    </row>
    <row r="234">
      <c r="C234" s="10"/>
      <c r="F234" s="26"/>
      <c r="G234" s="373"/>
      <c r="H234" s="73"/>
    </row>
    <row r="235">
      <c r="C235" s="10"/>
      <c r="F235" s="26"/>
      <c r="G235" s="373"/>
      <c r="H235" s="73"/>
    </row>
    <row r="236">
      <c r="C236" s="10"/>
      <c r="F236" s="26"/>
      <c r="G236" s="373"/>
      <c r="H236" s="73"/>
    </row>
    <row r="237">
      <c r="C237" s="10"/>
      <c r="F237" s="26"/>
      <c r="G237" s="373"/>
      <c r="H237" s="73"/>
    </row>
    <row r="238">
      <c r="C238" s="10"/>
      <c r="F238" s="26"/>
      <c r="G238" s="373"/>
      <c r="H238" s="73"/>
    </row>
    <row r="239">
      <c r="C239" s="10"/>
      <c r="F239" s="26"/>
      <c r="G239" s="373"/>
      <c r="H239" s="73"/>
    </row>
    <row r="240">
      <c r="C240" s="10"/>
      <c r="F240" s="26"/>
      <c r="G240" s="373"/>
      <c r="H240" s="73"/>
    </row>
    <row r="241">
      <c r="C241" s="10"/>
      <c r="F241" s="26"/>
      <c r="G241" s="373"/>
      <c r="H241" s="73"/>
    </row>
    <row r="242">
      <c r="C242" s="10"/>
      <c r="F242" s="26"/>
      <c r="G242" s="373"/>
      <c r="H242" s="73"/>
    </row>
    <row r="243">
      <c r="C243" s="10"/>
      <c r="F243" s="26"/>
      <c r="G243" s="373"/>
      <c r="H243" s="73"/>
    </row>
    <row r="244">
      <c r="C244" s="10"/>
      <c r="F244" s="26"/>
      <c r="G244" s="373"/>
      <c r="H244" s="73"/>
    </row>
    <row r="245">
      <c r="C245" s="10"/>
      <c r="F245" s="26"/>
      <c r="G245" s="373"/>
      <c r="H245" s="73"/>
    </row>
    <row r="246">
      <c r="C246" s="10"/>
      <c r="F246" s="26"/>
      <c r="G246" s="373"/>
      <c r="H246" s="73"/>
    </row>
    <row r="247">
      <c r="C247" s="10"/>
      <c r="F247" s="26"/>
      <c r="G247" s="373"/>
      <c r="H247" s="73"/>
    </row>
    <row r="248">
      <c r="C248" s="10"/>
      <c r="F248" s="26"/>
      <c r="G248" s="373"/>
      <c r="H248" s="73"/>
    </row>
    <row r="249">
      <c r="C249" s="10"/>
      <c r="F249" s="26"/>
      <c r="G249" s="373"/>
      <c r="H249" s="73"/>
    </row>
    <row r="250">
      <c r="C250" s="10"/>
      <c r="F250" s="26"/>
      <c r="G250" s="373"/>
      <c r="H250" s="73"/>
    </row>
    <row r="251">
      <c r="C251" s="10"/>
      <c r="F251" s="26"/>
      <c r="G251" s="373"/>
      <c r="H251" s="73"/>
    </row>
    <row r="252">
      <c r="C252" s="10"/>
      <c r="F252" s="26"/>
      <c r="G252" s="373"/>
      <c r="H252" s="73"/>
    </row>
    <row r="253">
      <c r="C253" s="10"/>
      <c r="F253" s="26"/>
      <c r="G253" s="373"/>
      <c r="H253" s="73"/>
    </row>
    <row r="254">
      <c r="C254" s="10"/>
      <c r="F254" s="26"/>
      <c r="G254" s="373"/>
      <c r="H254" s="73"/>
    </row>
    <row r="255">
      <c r="C255" s="10"/>
      <c r="F255" s="26"/>
      <c r="G255" s="373"/>
      <c r="H255" s="73"/>
    </row>
    <row r="256">
      <c r="C256" s="10"/>
      <c r="F256" s="26"/>
      <c r="G256" s="373"/>
      <c r="H256" s="73"/>
    </row>
    <row r="257">
      <c r="C257" s="10"/>
      <c r="F257" s="26"/>
      <c r="G257" s="373"/>
      <c r="H257" s="73"/>
    </row>
    <row r="258">
      <c r="C258" s="10"/>
      <c r="F258" s="26"/>
      <c r="G258" s="373"/>
      <c r="H258" s="73"/>
    </row>
    <row r="259">
      <c r="C259" s="10"/>
      <c r="F259" s="26"/>
      <c r="G259" s="373"/>
      <c r="H259" s="73"/>
    </row>
    <row r="260">
      <c r="C260" s="10"/>
      <c r="F260" s="26"/>
      <c r="G260" s="373"/>
      <c r="H260" s="73"/>
    </row>
    <row r="261">
      <c r="C261" s="10"/>
      <c r="F261" s="26"/>
      <c r="G261" s="373"/>
      <c r="H261" s="73"/>
    </row>
    <row r="262">
      <c r="C262" s="10"/>
      <c r="F262" s="26"/>
      <c r="G262" s="373"/>
      <c r="H262" s="73"/>
    </row>
    <row r="263">
      <c r="C263" s="10"/>
      <c r="F263" s="26"/>
      <c r="G263" s="373"/>
      <c r="H263" s="73"/>
    </row>
    <row r="264">
      <c r="C264" s="10"/>
      <c r="F264" s="26"/>
      <c r="G264" s="373"/>
      <c r="H264" s="73"/>
    </row>
    <row r="265">
      <c r="C265" s="10"/>
      <c r="F265" s="26"/>
      <c r="G265" s="373"/>
      <c r="H265" s="73"/>
    </row>
    <row r="266">
      <c r="C266" s="10"/>
      <c r="F266" s="26"/>
      <c r="G266" s="373"/>
      <c r="H266" s="73"/>
    </row>
    <row r="267">
      <c r="C267" s="10"/>
      <c r="F267" s="26"/>
      <c r="G267" s="373"/>
      <c r="H267" s="73"/>
    </row>
    <row r="268">
      <c r="C268" s="10"/>
      <c r="F268" s="26"/>
      <c r="G268" s="373"/>
      <c r="H268" s="73"/>
    </row>
    <row r="269">
      <c r="C269" s="10"/>
      <c r="F269" s="26"/>
      <c r="G269" s="373"/>
      <c r="H269" s="73"/>
    </row>
    <row r="270">
      <c r="C270" s="10"/>
      <c r="F270" s="26"/>
      <c r="G270" s="373"/>
      <c r="H270" s="73"/>
    </row>
    <row r="271">
      <c r="C271" s="10"/>
      <c r="F271" s="26"/>
      <c r="G271" s="373"/>
      <c r="H271" s="73"/>
    </row>
    <row r="272">
      <c r="C272" s="10"/>
      <c r="F272" s="26"/>
      <c r="G272" s="373"/>
      <c r="H272" s="73"/>
    </row>
    <row r="273">
      <c r="C273" s="10"/>
      <c r="F273" s="26"/>
      <c r="G273" s="373"/>
      <c r="H273" s="73"/>
    </row>
    <row r="274">
      <c r="C274" s="10"/>
      <c r="F274" s="26"/>
      <c r="G274" s="373"/>
      <c r="H274" s="73"/>
    </row>
    <row r="275">
      <c r="C275" s="10"/>
      <c r="F275" s="26"/>
      <c r="G275" s="373"/>
      <c r="H275" s="73"/>
    </row>
    <row r="276">
      <c r="C276" s="10"/>
      <c r="F276" s="26"/>
      <c r="G276" s="373"/>
      <c r="H276" s="73"/>
    </row>
    <row r="277">
      <c r="C277" s="10"/>
      <c r="F277" s="26"/>
      <c r="G277" s="373"/>
      <c r="H277" s="73"/>
    </row>
    <row r="278">
      <c r="C278" s="10"/>
      <c r="F278" s="26"/>
      <c r="G278" s="373"/>
      <c r="H278" s="73"/>
    </row>
    <row r="279">
      <c r="C279" s="10"/>
      <c r="F279" s="26"/>
      <c r="G279" s="373"/>
      <c r="H279" s="73"/>
    </row>
    <row r="280">
      <c r="C280" s="10"/>
      <c r="F280" s="26"/>
      <c r="G280" s="373"/>
      <c r="H280" s="73"/>
    </row>
    <row r="281">
      <c r="C281" s="10"/>
      <c r="F281" s="26"/>
      <c r="G281" s="373"/>
      <c r="H281" s="73"/>
    </row>
    <row r="282">
      <c r="C282" s="10"/>
      <c r="F282" s="26"/>
      <c r="G282" s="373"/>
      <c r="H282" s="73"/>
    </row>
    <row r="283">
      <c r="C283" s="10"/>
      <c r="F283" s="26"/>
      <c r="G283" s="373"/>
      <c r="H283" s="73"/>
    </row>
    <row r="284">
      <c r="C284" s="10"/>
      <c r="F284" s="26"/>
      <c r="G284" s="373"/>
      <c r="H284" s="73"/>
    </row>
    <row r="285">
      <c r="C285" s="10"/>
      <c r="F285" s="26"/>
      <c r="G285" s="373"/>
      <c r="H285" s="73"/>
    </row>
    <row r="286">
      <c r="C286" s="10"/>
      <c r="F286" s="26"/>
      <c r="G286" s="373"/>
      <c r="H286" s="73"/>
    </row>
    <row r="287">
      <c r="C287" s="10"/>
      <c r="F287" s="26"/>
      <c r="G287" s="373"/>
      <c r="H287" s="73"/>
    </row>
    <row r="288">
      <c r="C288" s="10"/>
      <c r="F288" s="26"/>
      <c r="G288" s="373"/>
      <c r="H288" s="73"/>
    </row>
    <row r="289">
      <c r="C289" s="10"/>
      <c r="F289" s="26"/>
      <c r="G289" s="373"/>
      <c r="H289" s="73"/>
    </row>
    <row r="290">
      <c r="C290" s="10"/>
      <c r="F290" s="26"/>
      <c r="G290" s="373"/>
      <c r="H290" s="73"/>
    </row>
    <row r="291">
      <c r="C291" s="10"/>
      <c r="F291" s="26"/>
      <c r="G291" s="373"/>
      <c r="H291" s="73"/>
    </row>
    <row r="292">
      <c r="C292" s="10"/>
      <c r="F292" s="26"/>
      <c r="G292" s="373"/>
      <c r="H292" s="73"/>
    </row>
    <row r="293">
      <c r="C293" s="10"/>
      <c r="F293" s="26"/>
      <c r="G293" s="373"/>
      <c r="H293" s="73"/>
    </row>
    <row r="294">
      <c r="C294" s="10"/>
      <c r="F294" s="26"/>
      <c r="G294" s="373"/>
      <c r="H294" s="73"/>
    </row>
    <row r="295">
      <c r="C295" s="10"/>
      <c r="F295" s="26"/>
      <c r="G295" s="373"/>
      <c r="H295" s="73"/>
    </row>
    <row r="296">
      <c r="C296" s="10"/>
      <c r="F296" s="26"/>
      <c r="G296" s="373"/>
      <c r="H296" s="73"/>
    </row>
    <row r="297">
      <c r="C297" s="10"/>
      <c r="F297" s="26"/>
      <c r="G297" s="373"/>
      <c r="H297" s="73"/>
    </row>
    <row r="298">
      <c r="C298" s="10"/>
      <c r="F298" s="26"/>
      <c r="G298" s="373"/>
      <c r="H298" s="73"/>
    </row>
    <row r="299">
      <c r="C299" s="10"/>
      <c r="F299" s="26"/>
      <c r="G299" s="373"/>
      <c r="H299" s="73"/>
    </row>
    <row r="300">
      <c r="C300" s="10"/>
      <c r="F300" s="26"/>
      <c r="G300" s="373"/>
      <c r="H300" s="73"/>
    </row>
    <row r="301">
      <c r="C301" s="10"/>
      <c r="F301" s="26"/>
      <c r="G301" s="373"/>
      <c r="H301" s="73"/>
    </row>
    <row r="302">
      <c r="C302" s="10"/>
      <c r="F302" s="26"/>
      <c r="G302" s="373"/>
      <c r="H302" s="73"/>
    </row>
    <row r="303">
      <c r="C303" s="10"/>
      <c r="F303" s="26"/>
      <c r="G303" s="373"/>
      <c r="H303" s="73"/>
    </row>
    <row r="304">
      <c r="C304" s="10"/>
      <c r="F304" s="26"/>
      <c r="G304" s="373"/>
      <c r="H304" s="73"/>
    </row>
    <row r="305">
      <c r="C305" s="10"/>
      <c r="F305" s="26"/>
      <c r="G305" s="373"/>
      <c r="H305" s="73"/>
    </row>
    <row r="306">
      <c r="C306" s="10"/>
      <c r="F306" s="26"/>
      <c r="G306" s="373"/>
      <c r="H306" s="73"/>
    </row>
    <row r="307">
      <c r="C307" s="10"/>
      <c r="F307" s="26"/>
      <c r="G307" s="373"/>
      <c r="H307" s="73"/>
    </row>
    <row r="308">
      <c r="C308" s="10"/>
      <c r="F308" s="26"/>
      <c r="G308" s="373"/>
      <c r="H308" s="73"/>
    </row>
    <row r="309">
      <c r="C309" s="10"/>
      <c r="F309" s="26"/>
      <c r="G309" s="373"/>
      <c r="H309" s="73"/>
    </row>
    <row r="310">
      <c r="C310" s="10"/>
      <c r="F310" s="26"/>
      <c r="G310" s="373"/>
      <c r="H310" s="73"/>
    </row>
    <row r="311">
      <c r="C311" s="10"/>
      <c r="F311" s="26"/>
      <c r="G311" s="373"/>
      <c r="H311" s="73"/>
    </row>
    <row r="312">
      <c r="C312" s="10"/>
      <c r="F312" s="26"/>
      <c r="G312" s="373"/>
      <c r="H312" s="73"/>
    </row>
    <row r="313">
      <c r="C313" s="10"/>
      <c r="F313" s="26"/>
      <c r="G313" s="373"/>
      <c r="H313" s="73"/>
    </row>
    <row r="314">
      <c r="C314" s="10"/>
      <c r="F314" s="26"/>
      <c r="G314" s="373"/>
      <c r="H314" s="73"/>
    </row>
    <row r="315">
      <c r="C315" s="10"/>
      <c r="F315" s="26"/>
      <c r="G315" s="373"/>
      <c r="H315" s="73"/>
    </row>
    <row r="316">
      <c r="C316" s="10"/>
      <c r="F316" s="26"/>
      <c r="G316" s="373"/>
      <c r="H316" s="73"/>
    </row>
    <row r="317">
      <c r="C317" s="10"/>
      <c r="F317" s="26"/>
      <c r="G317" s="373"/>
      <c r="H317" s="73"/>
    </row>
    <row r="318">
      <c r="C318" s="10"/>
      <c r="F318" s="26"/>
      <c r="G318" s="373"/>
      <c r="H318" s="73"/>
    </row>
    <row r="319">
      <c r="C319" s="10"/>
      <c r="F319" s="26"/>
      <c r="G319" s="373"/>
      <c r="H319" s="73"/>
    </row>
    <row r="320">
      <c r="C320" s="10"/>
      <c r="F320" s="26"/>
      <c r="G320" s="373"/>
      <c r="H320" s="73"/>
    </row>
    <row r="321">
      <c r="C321" s="10"/>
      <c r="F321" s="26"/>
      <c r="G321" s="373"/>
      <c r="H321" s="73"/>
    </row>
    <row r="322">
      <c r="C322" s="10"/>
      <c r="F322" s="26"/>
      <c r="G322" s="373"/>
      <c r="H322" s="73"/>
    </row>
    <row r="323">
      <c r="C323" s="10"/>
      <c r="F323" s="26"/>
      <c r="G323" s="373"/>
      <c r="H323" s="73"/>
    </row>
    <row r="324">
      <c r="C324" s="10"/>
      <c r="F324" s="26"/>
      <c r="G324" s="373"/>
      <c r="H324" s="73"/>
    </row>
    <row r="325">
      <c r="C325" s="10"/>
      <c r="F325" s="26"/>
      <c r="G325" s="373"/>
      <c r="H325" s="73"/>
    </row>
    <row r="326">
      <c r="C326" s="10"/>
      <c r="F326" s="26"/>
      <c r="G326" s="373"/>
      <c r="H326" s="73"/>
    </row>
    <row r="327">
      <c r="C327" s="10"/>
      <c r="F327" s="26"/>
      <c r="G327" s="373"/>
      <c r="H327" s="73"/>
    </row>
    <row r="328">
      <c r="C328" s="10"/>
      <c r="F328" s="26"/>
      <c r="G328" s="373"/>
      <c r="H328" s="73"/>
    </row>
    <row r="329">
      <c r="C329" s="10"/>
      <c r="F329" s="26"/>
      <c r="G329" s="373"/>
      <c r="H329" s="73"/>
    </row>
    <row r="330">
      <c r="C330" s="10"/>
      <c r="F330" s="26"/>
      <c r="G330" s="373"/>
      <c r="H330" s="73"/>
    </row>
    <row r="331">
      <c r="C331" s="10"/>
      <c r="F331" s="26"/>
      <c r="G331" s="373"/>
      <c r="H331" s="73"/>
    </row>
    <row r="332">
      <c r="C332" s="10"/>
      <c r="F332" s="26"/>
      <c r="G332" s="373"/>
      <c r="H332" s="73"/>
    </row>
    <row r="333">
      <c r="C333" s="10"/>
      <c r="F333" s="26"/>
      <c r="G333" s="373"/>
      <c r="H333" s="73"/>
    </row>
    <row r="334">
      <c r="C334" s="10"/>
      <c r="F334" s="26"/>
      <c r="G334" s="373"/>
      <c r="H334" s="73"/>
    </row>
    <row r="335">
      <c r="C335" s="10"/>
      <c r="F335" s="26"/>
      <c r="G335" s="373"/>
      <c r="H335" s="73"/>
    </row>
    <row r="336">
      <c r="C336" s="10"/>
      <c r="F336" s="26"/>
      <c r="G336" s="373"/>
      <c r="H336" s="73"/>
    </row>
    <row r="337">
      <c r="C337" s="10"/>
      <c r="F337" s="26"/>
      <c r="G337" s="373"/>
      <c r="H337" s="73"/>
    </row>
    <row r="338">
      <c r="C338" s="10"/>
      <c r="F338" s="26"/>
      <c r="G338" s="373"/>
      <c r="H338" s="73"/>
    </row>
    <row r="339">
      <c r="C339" s="10"/>
      <c r="F339" s="26"/>
      <c r="G339" s="373"/>
      <c r="H339" s="73"/>
    </row>
    <row r="340">
      <c r="C340" s="10"/>
      <c r="F340" s="26"/>
      <c r="G340" s="373"/>
      <c r="H340" s="73"/>
    </row>
    <row r="341">
      <c r="C341" s="10"/>
      <c r="F341" s="26"/>
      <c r="G341" s="373"/>
      <c r="H341" s="73"/>
    </row>
    <row r="342">
      <c r="C342" s="10"/>
      <c r="F342" s="26"/>
      <c r="G342" s="373"/>
      <c r="H342" s="73"/>
    </row>
    <row r="343">
      <c r="C343" s="10"/>
      <c r="F343" s="26"/>
      <c r="G343" s="373"/>
      <c r="H343" s="73"/>
    </row>
    <row r="344">
      <c r="C344" s="10"/>
      <c r="F344" s="26"/>
      <c r="G344" s="373"/>
      <c r="H344" s="73"/>
    </row>
    <row r="345">
      <c r="C345" s="10"/>
      <c r="F345" s="26"/>
      <c r="G345" s="373"/>
      <c r="H345" s="73"/>
    </row>
    <row r="346">
      <c r="C346" s="10"/>
      <c r="F346" s="26"/>
      <c r="G346" s="373"/>
      <c r="H346" s="73"/>
    </row>
    <row r="347">
      <c r="C347" s="10"/>
      <c r="F347" s="26"/>
      <c r="G347" s="373"/>
      <c r="H347" s="73"/>
    </row>
    <row r="348">
      <c r="C348" s="10"/>
      <c r="F348" s="26"/>
      <c r="G348" s="373"/>
      <c r="H348" s="73"/>
    </row>
    <row r="349">
      <c r="C349" s="10"/>
      <c r="F349" s="26"/>
      <c r="G349" s="373"/>
      <c r="H349" s="73"/>
    </row>
    <row r="350">
      <c r="C350" s="10"/>
      <c r="F350" s="26"/>
      <c r="G350" s="373"/>
      <c r="H350" s="73"/>
    </row>
    <row r="351">
      <c r="C351" s="10"/>
      <c r="F351" s="26"/>
      <c r="G351" s="373"/>
      <c r="H351" s="73"/>
    </row>
    <row r="352">
      <c r="C352" s="10"/>
      <c r="F352" s="26"/>
      <c r="G352" s="373"/>
      <c r="H352" s="73"/>
    </row>
    <row r="353">
      <c r="C353" s="10"/>
      <c r="F353" s="26"/>
      <c r="G353" s="373"/>
      <c r="H353" s="73"/>
    </row>
    <row r="354">
      <c r="C354" s="10"/>
      <c r="F354" s="26"/>
      <c r="G354" s="373"/>
      <c r="H354" s="73"/>
    </row>
    <row r="355">
      <c r="C355" s="10"/>
      <c r="F355" s="26"/>
      <c r="G355" s="373"/>
      <c r="H355" s="73"/>
    </row>
    <row r="356">
      <c r="C356" s="10"/>
      <c r="F356" s="26"/>
      <c r="G356" s="373"/>
      <c r="H356" s="73"/>
    </row>
    <row r="357">
      <c r="C357" s="10"/>
      <c r="F357" s="26"/>
      <c r="G357" s="373"/>
      <c r="H357" s="73"/>
    </row>
    <row r="358">
      <c r="C358" s="10"/>
      <c r="F358" s="26"/>
      <c r="G358" s="373"/>
      <c r="H358" s="73"/>
    </row>
    <row r="359">
      <c r="C359" s="10"/>
      <c r="F359" s="26"/>
      <c r="G359" s="373"/>
      <c r="H359" s="73"/>
    </row>
    <row r="360">
      <c r="C360" s="10"/>
      <c r="F360" s="26"/>
      <c r="G360" s="373"/>
      <c r="H360" s="73"/>
    </row>
    <row r="361">
      <c r="C361" s="10"/>
      <c r="F361" s="26"/>
      <c r="G361" s="373"/>
      <c r="H361" s="73"/>
    </row>
    <row r="362">
      <c r="C362" s="10"/>
      <c r="F362" s="26"/>
      <c r="G362" s="373"/>
      <c r="H362" s="73"/>
    </row>
    <row r="363">
      <c r="C363" s="10"/>
      <c r="F363" s="26"/>
      <c r="G363" s="373"/>
      <c r="H363" s="73"/>
    </row>
    <row r="364">
      <c r="C364" s="10"/>
      <c r="F364" s="26"/>
      <c r="G364" s="373"/>
      <c r="H364" s="73"/>
    </row>
    <row r="365">
      <c r="C365" s="10"/>
      <c r="F365" s="26"/>
      <c r="G365" s="373"/>
      <c r="H365" s="73"/>
    </row>
    <row r="366">
      <c r="C366" s="10"/>
      <c r="F366" s="26"/>
      <c r="G366" s="373"/>
      <c r="H366" s="73"/>
    </row>
    <row r="367">
      <c r="C367" s="10"/>
      <c r="F367" s="26"/>
      <c r="G367" s="373"/>
      <c r="H367" s="73"/>
    </row>
    <row r="368">
      <c r="C368" s="10"/>
      <c r="F368" s="26"/>
      <c r="G368" s="373"/>
      <c r="H368" s="73"/>
    </row>
    <row r="369">
      <c r="C369" s="10"/>
      <c r="F369" s="26"/>
      <c r="G369" s="373"/>
      <c r="H369" s="73"/>
    </row>
    <row r="370">
      <c r="C370" s="10"/>
      <c r="F370" s="26"/>
      <c r="G370" s="373"/>
      <c r="H370" s="73"/>
    </row>
    <row r="371">
      <c r="C371" s="10"/>
      <c r="F371" s="26"/>
      <c r="G371" s="373"/>
      <c r="H371" s="73"/>
    </row>
    <row r="372">
      <c r="C372" s="10"/>
      <c r="F372" s="26"/>
      <c r="G372" s="373"/>
      <c r="H372" s="73"/>
    </row>
    <row r="373">
      <c r="C373" s="10"/>
      <c r="F373" s="26"/>
      <c r="G373" s="373"/>
      <c r="H373" s="73"/>
    </row>
    <row r="374">
      <c r="C374" s="10"/>
      <c r="F374" s="26"/>
      <c r="G374" s="373"/>
      <c r="H374" s="73"/>
    </row>
    <row r="375">
      <c r="C375" s="10"/>
      <c r="F375" s="26"/>
      <c r="G375" s="373"/>
      <c r="H375" s="73"/>
    </row>
    <row r="376">
      <c r="C376" s="10"/>
      <c r="F376" s="26"/>
      <c r="G376" s="373"/>
      <c r="H376" s="73"/>
    </row>
    <row r="377">
      <c r="C377" s="10"/>
      <c r="F377" s="26"/>
      <c r="G377" s="373"/>
      <c r="H377" s="73"/>
    </row>
    <row r="378">
      <c r="C378" s="10"/>
      <c r="F378" s="26"/>
      <c r="G378" s="373"/>
      <c r="H378" s="73"/>
    </row>
    <row r="379">
      <c r="C379" s="10"/>
      <c r="F379" s="26"/>
      <c r="G379" s="373"/>
      <c r="H379" s="73"/>
    </row>
    <row r="380">
      <c r="C380" s="10"/>
      <c r="F380" s="26"/>
      <c r="G380" s="373"/>
      <c r="H380" s="73"/>
    </row>
    <row r="381">
      <c r="C381" s="10"/>
      <c r="F381" s="26"/>
      <c r="G381" s="373"/>
      <c r="H381" s="73"/>
    </row>
    <row r="382">
      <c r="C382" s="10"/>
      <c r="F382" s="26"/>
      <c r="G382" s="373"/>
      <c r="H382" s="73"/>
    </row>
    <row r="383">
      <c r="C383" s="10"/>
      <c r="F383" s="26"/>
      <c r="G383" s="373"/>
      <c r="H383" s="73"/>
    </row>
    <row r="384">
      <c r="C384" s="10"/>
      <c r="F384" s="26"/>
      <c r="G384" s="373"/>
      <c r="H384" s="73"/>
    </row>
    <row r="385">
      <c r="C385" s="10"/>
      <c r="F385" s="26"/>
      <c r="G385" s="373"/>
      <c r="H385" s="73"/>
    </row>
    <row r="386">
      <c r="C386" s="10"/>
      <c r="F386" s="26"/>
      <c r="G386" s="373"/>
      <c r="H386" s="73"/>
    </row>
    <row r="387">
      <c r="C387" s="10"/>
      <c r="F387" s="26"/>
      <c r="G387" s="373"/>
      <c r="H387" s="73"/>
    </row>
    <row r="388">
      <c r="C388" s="10"/>
      <c r="F388" s="26"/>
      <c r="G388" s="373"/>
      <c r="H388" s="73"/>
    </row>
    <row r="389">
      <c r="C389" s="10"/>
      <c r="F389" s="26"/>
      <c r="G389" s="373"/>
      <c r="H389" s="73"/>
    </row>
    <row r="390">
      <c r="C390" s="10"/>
      <c r="F390" s="26"/>
      <c r="G390" s="373"/>
      <c r="H390" s="73"/>
    </row>
    <row r="391">
      <c r="C391" s="10"/>
      <c r="F391" s="26"/>
      <c r="G391" s="373"/>
      <c r="H391" s="73"/>
    </row>
    <row r="392">
      <c r="C392" s="10"/>
      <c r="F392" s="26"/>
      <c r="G392" s="373"/>
      <c r="H392" s="73"/>
    </row>
    <row r="393">
      <c r="C393" s="10"/>
      <c r="F393" s="26"/>
      <c r="G393" s="373"/>
      <c r="H393" s="73"/>
    </row>
    <row r="394">
      <c r="C394" s="10"/>
      <c r="F394" s="26"/>
      <c r="G394" s="373"/>
      <c r="H394" s="73"/>
    </row>
    <row r="395">
      <c r="C395" s="10"/>
      <c r="F395" s="26"/>
      <c r="G395" s="373"/>
      <c r="H395" s="73"/>
    </row>
    <row r="396">
      <c r="C396" s="10"/>
      <c r="F396" s="26"/>
      <c r="G396" s="373"/>
      <c r="H396" s="73"/>
    </row>
    <row r="397">
      <c r="C397" s="10"/>
      <c r="F397" s="26"/>
      <c r="G397" s="373"/>
      <c r="H397" s="73"/>
    </row>
    <row r="398">
      <c r="C398" s="10"/>
      <c r="F398" s="26"/>
      <c r="G398" s="373"/>
      <c r="H398" s="73"/>
    </row>
    <row r="399">
      <c r="C399" s="10"/>
      <c r="F399" s="26"/>
      <c r="G399" s="373"/>
      <c r="H399" s="73"/>
    </row>
    <row r="400">
      <c r="C400" s="10"/>
      <c r="F400" s="26"/>
      <c r="G400" s="373"/>
      <c r="H400" s="73"/>
    </row>
    <row r="401">
      <c r="C401" s="10"/>
      <c r="F401" s="26"/>
      <c r="G401" s="373"/>
      <c r="H401" s="73"/>
    </row>
    <row r="402">
      <c r="C402" s="10"/>
      <c r="F402" s="26"/>
      <c r="G402" s="373"/>
      <c r="H402" s="73"/>
    </row>
    <row r="403">
      <c r="C403" s="10"/>
      <c r="F403" s="26"/>
      <c r="G403" s="373"/>
      <c r="H403" s="73"/>
    </row>
    <row r="404">
      <c r="C404" s="10"/>
      <c r="F404" s="26"/>
      <c r="G404" s="373"/>
      <c r="H404" s="73"/>
    </row>
    <row r="405">
      <c r="C405" s="10"/>
      <c r="F405" s="26"/>
      <c r="G405" s="373"/>
      <c r="H405" s="73"/>
    </row>
    <row r="406">
      <c r="C406" s="10"/>
      <c r="F406" s="26"/>
      <c r="G406" s="373"/>
      <c r="H406" s="73"/>
    </row>
    <row r="407">
      <c r="C407" s="10"/>
      <c r="F407" s="26"/>
      <c r="G407" s="373"/>
      <c r="H407" s="73"/>
    </row>
    <row r="408">
      <c r="C408" s="10"/>
      <c r="F408" s="26"/>
      <c r="G408" s="373"/>
      <c r="H408" s="73"/>
    </row>
    <row r="409">
      <c r="C409" s="10"/>
      <c r="F409" s="26"/>
      <c r="G409" s="373"/>
      <c r="H409" s="73"/>
    </row>
    <row r="410">
      <c r="C410" s="10"/>
      <c r="F410" s="26"/>
      <c r="G410" s="373"/>
      <c r="H410" s="73"/>
    </row>
    <row r="411">
      <c r="C411" s="10"/>
      <c r="F411" s="26"/>
      <c r="G411" s="373"/>
      <c r="H411" s="73"/>
    </row>
    <row r="412">
      <c r="C412" s="10"/>
      <c r="F412" s="26"/>
      <c r="G412" s="373"/>
      <c r="H412" s="73"/>
    </row>
    <row r="413">
      <c r="C413" s="10"/>
      <c r="F413" s="26"/>
      <c r="G413" s="373"/>
      <c r="H413" s="73"/>
    </row>
    <row r="414">
      <c r="C414" s="10"/>
      <c r="F414" s="26"/>
      <c r="G414" s="373"/>
      <c r="H414" s="73"/>
    </row>
    <row r="415">
      <c r="C415" s="10"/>
      <c r="F415" s="26"/>
      <c r="G415" s="373"/>
      <c r="H415" s="73"/>
    </row>
    <row r="416">
      <c r="C416" s="10"/>
      <c r="F416" s="26"/>
      <c r="G416" s="373"/>
      <c r="H416" s="73"/>
    </row>
    <row r="417">
      <c r="C417" s="10"/>
      <c r="F417" s="26"/>
      <c r="G417" s="373"/>
      <c r="H417" s="73"/>
    </row>
    <row r="418">
      <c r="C418" s="10"/>
      <c r="F418" s="26"/>
      <c r="G418" s="373"/>
      <c r="H418" s="73"/>
    </row>
    <row r="419">
      <c r="C419" s="10"/>
      <c r="F419" s="26"/>
      <c r="G419" s="373"/>
      <c r="H419" s="73"/>
    </row>
    <row r="420">
      <c r="C420" s="10"/>
      <c r="F420" s="26"/>
      <c r="G420" s="373"/>
      <c r="H420" s="73"/>
    </row>
    <row r="421">
      <c r="C421" s="10"/>
      <c r="F421" s="26"/>
      <c r="G421" s="373"/>
      <c r="H421" s="73"/>
    </row>
    <row r="422">
      <c r="C422" s="10"/>
      <c r="F422" s="26"/>
      <c r="G422" s="373"/>
      <c r="H422" s="73"/>
    </row>
    <row r="423">
      <c r="C423" s="10"/>
      <c r="F423" s="26"/>
      <c r="G423" s="373"/>
      <c r="H423" s="73"/>
    </row>
    <row r="424">
      <c r="C424" s="10"/>
      <c r="F424" s="26"/>
      <c r="G424" s="373"/>
      <c r="H424" s="73"/>
    </row>
    <row r="425">
      <c r="C425" s="10"/>
      <c r="F425" s="26"/>
      <c r="G425" s="373"/>
      <c r="H425" s="73"/>
    </row>
    <row r="426">
      <c r="C426" s="10"/>
      <c r="F426" s="26"/>
      <c r="G426" s="373"/>
      <c r="H426" s="73"/>
    </row>
    <row r="427">
      <c r="C427" s="10"/>
      <c r="F427" s="26"/>
      <c r="G427" s="373"/>
      <c r="H427" s="73"/>
    </row>
    <row r="428">
      <c r="C428" s="10"/>
      <c r="F428" s="26"/>
      <c r="G428" s="373"/>
      <c r="H428" s="73"/>
    </row>
    <row r="429">
      <c r="C429" s="10"/>
      <c r="F429" s="26"/>
      <c r="G429" s="373"/>
      <c r="H429" s="73"/>
    </row>
    <row r="430">
      <c r="C430" s="10"/>
      <c r="F430" s="26"/>
      <c r="G430" s="373"/>
      <c r="H430" s="73"/>
    </row>
    <row r="431">
      <c r="C431" s="10"/>
      <c r="F431" s="26"/>
      <c r="G431" s="373"/>
      <c r="H431" s="73"/>
    </row>
    <row r="432">
      <c r="C432" s="10"/>
      <c r="F432" s="26"/>
      <c r="G432" s="373"/>
      <c r="H432" s="73"/>
    </row>
    <row r="433">
      <c r="C433" s="10"/>
      <c r="F433" s="26"/>
      <c r="G433" s="373"/>
      <c r="H433" s="73"/>
    </row>
    <row r="434">
      <c r="C434" s="10"/>
      <c r="F434" s="26"/>
      <c r="G434" s="373"/>
      <c r="H434" s="73"/>
    </row>
    <row r="435">
      <c r="C435" s="10"/>
      <c r="F435" s="26"/>
      <c r="G435" s="373"/>
      <c r="H435" s="73"/>
    </row>
    <row r="436">
      <c r="C436" s="10"/>
      <c r="F436" s="26"/>
      <c r="G436" s="373"/>
      <c r="H436" s="73"/>
    </row>
    <row r="437">
      <c r="C437" s="10"/>
      <c r="F437" s="26"/>
      <c r="G437" s="373"/>
      <c r="H437" s="73"/>
    </row>
    <row r="438">
      <c r="C438" s="10"/>
      <c r="F438" s="26"/>
      <c r="G438" s="373"/>
      <c r="H438" s="73"/>
    </row>
    <row r="439">
      <c r="C439" s="10"/>
      <c r="F439" s="26"/>
      <c r="G439" s="373"/>
      <c r="H439" s="73"/>
    </row>
    <row r="440">
      <c r="C440" s="10"/>
      <c r="F440" s="26"/>
      <c r="G440" s="373"/>
      <c r="H440" s="73"/>
    </row>
    <row r="441">
      <c r="C441" s="10"/>
      <c r="F441" s="26"/>
      <c r="G441" s="373"/>
      <c r="H441" s="73"/>
    </row>
    <row r="442">
      <c r="C442" s="10"/>
      <c r="F442" s="26"/>
      <c r="G442" s="373"/>
      <c r="H442" s="73"/>
    </row>
    <row r="443">
      <c r="C443" s="10"/>
      <c r="F443" s="26"/>
      <c r="G443" s="373"/>
      <c r="H443" s="73"/>
    </row>
    <row r="444">
      <c r="C444" s="10"/>
      <c r="F444" s="26"/>
      <c r="G444" s="373"/>
      <c r="H444" s="73"/>
    </row>
    <row r="445">
      <c r="C445" s="10"/>
      <c r="F445" s="26"/>
      <c r="G445" s="373"/>
      <c r="H445" s="73"/>
    </row>
    <row r="446">
      <c r="C446" s="10"/>
      <c r="F446" s="26"/>
      <c r="G446" s="373"/>
      <c r="H446" s="73"/>
    </row>
    <row r="447">
      <c r="C447" s="10"/>
      <c r="F447" s="26"/>
      <c r="G447" s="373"/>
      <c r="H447" s="73"/>
    </row>
    <row r="448">
      <c r="C448" s="10"/>
      <c r="F448" s="26"/>
      <c r="G448" s="373"/>
      <c r="H448" s="73"/>
    </row>
    <row r="449">
      <c r="C449" s="10"/>
      <c r="F449" s="26"/>
      <c r="G449" s="373"/>
      <c r="H449" s="73"/>
    </row>
    <row r="450">
      <c r="C450" s="10"/>
      <c r="F450" s="26"/>
      <c r="G450" s="373"/>
      <c r="H450" s="73"/>
    </row>
    <row r="451">
      <c r="C451" s="10"/>
      <c r="F451" s="26"/>
      <c r="G451" s="373"/>
      <c r="H451" s="73"/>
    </row>
    <row r="452">
      <c r="C452" s="10"/>
      <c r="F452" s="26"/>
      <c r="G452" s="373"/>
      <c r="H452" s="73"/>
    </row>
    <row r="453">
      <c r="C453" s="10"/>
      <c r="F453" s="26"/>
      <c r="G453" s="373"/>
      <c r="H453" s="73"/>
    </row>
    <row r="454">
      <c r="C454" s="10"/>
      <c r="F454" s="26"/>
      <c r="G454" s="373"/>
      <c r="H454" s="73"/>
    </row>
    <row r="455">
      <c r="C455" s="10"/>
      <c r="F455" s="26"/>
      <c r="G455" s="373"/>
      <c r="H455" s="73"/>
    </row>
    <row r="456">
      <c r="C456" s="10"/>
      <c r="F456" s="26"/>
      <c r="G456" s="373"/>
      <c r="H456" s="73"/>
    </row>
    <row r="457">
      <c r="C457" s="10"/>
      <c r="F457" s="26"/>
      <c r="G457" s="373"/>
      <c r="H457" s="73"/>
    </row>
    <row r="458">
      <c r="C458" s="10"/>
      <c r="F458" s="26"/>
      <c r="G458" s="373"/>
      <c r="H458" s="73"/>
    </row>
    <row r="459">
      <c r="C459" s="10"/>
      <c r="F459" s="26"/>
      <c r="G459" s="373"/>
      <c r="H459" s="73"/>
    </row>
    <row r="460">
      <c r="C460" s="10"/>
      <c r="F460" s="26"/>
      <c r="G460" s="373"/>
      <c r="H460" s="73"/>
    </row>
    <row r="461">
      <c r="C461" s="10"/>
      <c r="F461" s="26"/>
      <c r="G461" s="373"/>
      <c r="H461" s="73"/>
    </row>
    <row r="462">
      <c r="C462" s="10"/>
      <c r="F462" s="26"/>
      <c r="G462" s="373"/>
      <c r="H462" s="73"/>
    </row>
    <row r="463">
      <c r="C463" s="10"/>
      <c r="F463" s="26"/>
      <c r="G463" s="373"/>
      <c r="H463" s="73"/>
    </row>
    <row r="464">
      <c r="C464" s="10"/>
      <c r="F464" s="26"/>
      <c r="G464" s="373"/>
      <c r="H464" s="73"/>
    </row>
    <row r="465">
      <c r="C465" s="10"/>
      <c r="F465" s="26"/>
      <c r="G465" s="373"/>
      <c r="H465" s="73"/>
    </row>
    <row r="466">
      <c r="C466" s="10"/>
      <c r="F466" s="26"/>
      <c r="G466" s="373"/>
      <c r="H466" s="73"/>
    </row>
    <row r="467">
      <c r="C467" s="10"/>
      <c r="F467" s="26"/>
      <c r="G467" s="373"/>
      <c r="H467" s="73"/>
    </row>
    <row r="468">
      <c r="C468" s="10"/>
      <c r="F468" s="26"/>
      <c r="G468" s="373"/>
      <c r="H468" s="73"/>
    </row>
    <row r="469">
      <c r="C469" s="10"/>
      <c r="F469" s="26"/>
      <c r="G469" s="373"/>
      <c r="H469" s="73"/>
    </row>
    <row r="470">
      <c r="C470" s="10"/>
      <c r="F470" s="26"/>
      <c r="G470" s="373"/>
      <c r="H470" s="73"/>
    </row>
    <row r="471">
      <c r="C471" s="10"/>
      <c r="F471" s="26"/>
      <c r="G471" s="373"/>
      <c r="H471" s="73"/>
    </row>
    <row r="472">
      <c r="C472" s="10"/>
      <c r="F472" s="26"/>
      <c r="G472" s="373"/>
      <c r="H472" s="73"/>
    </row>
    <row r="473">
      <c r="C473" s="10"/>
      <c r="F473" s="26"/>
      <c r="G473" s="373"/>
      <c r="H473" s="73"/>
    </row>
    <row r="474">
      <c r="C474" s="10"/>
      <c r="F474" s="26"/>
      <c r="G474" s="373"/>
      <c r="H474" s="73"/>
    </row>
    <row r="475">
      <c r="C475" s="10"/>
      <c r="F475" s="26"/>
      <c r="G475" s="373"/>
      <c r="H475" s="73"/>
    </row>
    <row r="476">
      <c r="C476" s="10"/>
      <c r="F476" s="26"/>
      <c r="G476" s="373"/>
      <c r="H476" s="73"/>
    </row>
    <row r="477">
      <c r="C477" s="10"/>
      <c r="F477" s="26"/>
      <c r="G477" s="373"/>
      <c r="H477" s="73"/>
    </row>
    <row r="478">
      <c r="C478" s="10"/>
      <c r="F478" s="26"/>
      <c r="G478" s="373"/>
      <c r="H478" s="73"/>
    </row>
    <row r="479">
      <c r="C479" s="10"/>
      <c r="F479" s="26"/>
      <c r="G479" s="373"/>
      <c r="H479" s="73"/>
    </row>
    <row r="480">
      <c r="C480" s="10"/>
      <c r="F480" s="26"/>
      <c r="G480" s="373"/>
      <c r="H480" s="73"/>
    </row>
    <row r="481">
      <c r="C481" s="10"/>
      <c r="F481" s="26"/>
      <c r="G481" s="373"/>
      <c r="H481" s="73"/>
    </row>
    <row r="482">
      <c r="C482" s="10"/>
      <c r="F482" s="26"/>
      <c r="G482" s="373"/>
      <c r="H482" s="73"/>
    </row>
    <row r="483">
      <c r="C483" s="10"/>
      <c r="F483" s="26"/>
      <c r="G483" s="373"/>
      <c r="H483" s="73"/>
    </row>
    <row r="484">
      <c r="C484" s="10"/>
      <c r="F484" s="26"/>
      <c r="G484" s="373"/>
      <c r="H484" s="73"/>
    </row>
    <row r="485">
      <c r="C485" s="10"/>
      <c r="F485" s="26"/>
      <c r="G485" s="373"/>
      <c r="H485" s="73"/>
    </row>
    <row r="486">
      <c r="C486" s="10"/>
      <c r="F486" s="26"/>
      <c r="G486" s="373"/>
      <c r="H486" s="73"/>
    </row>
    <row r="487">
      <c r="C487" s="10"/>
      <c r="F487" s="26"/>
      <c r="G487" s="373"/>
      <c r="H487" s="73"/>
    </row>
    <row r="488">
      <c r="C488" s="10"/>
      <c r="F488" s="26"/>
      <c r="G488" s="373"/>
      <c r="H488" s="73"/>
    </row>
    <row r="489">
      <c r="C489" s="10"/>
      <c r="F489" s="26"/>
      <c r="G489" s="373"/>
      <c r="H489" s="73"/>
    </row>
    <row r="490">
      <c r="C490" s="10"/>
      <c r="F490" s="26"/>
      <c r="G490" s="373"/>
      <c r="H490" s="73"/>
    </row>
    <row r="491">
      <c r="C491" s="10"/>
      <c r="F491" s="26"/>
      <c r="G491" s="373"/>
      <c r="H491" s="73"/>
    </row>
    <row r="492">
      <c r="C492" s="10"/>
      <c r="F492" s="26"/>
      <c r="G492" s="373"/>
      <c r="H492" s="73"/>
    </row>
    <row r="493">
      <c r="C493" s="10"/>
      <c r="F493" s="26"/>
      <c r="G493" s="373"/>
      <c r="H493" s="73"/>
    </row>
    <row r="494">
      <c r="C494" s="10"/>
      <c r="F494" s="26"/>
      <c r="G494" s="373"/>
      <c r="H494" s="73"/>
    </row>
    <row r="495">
      <c r="C495" s="10"/>
      <c r="F495" s="26"/>
      <c r="G495" s="373"/>
      <c r="H495" s="73"/>
    </row>
    <row r="496">
      <c r="C496" s="10"/>
      <c r="F496" s="26"/>
      <c r="G496" s="373"/>
      <c r="H496" s="73"/>
    </row>
    <row r="497">
      <c r="C497" s="10"/>
      <c r="F497" s="26"/>
      <c r="G497" s="373"/>
      <c r="H497" s="73"/>
    </row>
    <row r="498">
      <c r="C498" s="10"/>
      <c r="F498" s="26"/>
      <c r="G498" s="373"/>
      <c r="H498" s="73"/>
    </row>
    <row r="499">
      <c r="C499" s="10"/>
      <c r="F499" s="26"/>
      <c r="G499" s="373"/>
      <c r="H499" s="73"/>
    </row>
    <row r="500">
      <c r="C500" s="10"/>
      <c r="F500" s="26"/>
      <c r="G500" s="373"/>
      <c r="H500" s="73"/>
    </row>
    <row r="501">
      <c r="C501" s="10"/>
      <c r="F501" s="26"/>
      <c r="G501" s="373"/>
      <c r="H501" s="73"/>
    </row>
    <row r="502">
      <c r="C502" s="10"/>
      <c r="F502" s="26"/>
      <c r="G502" s="373"/>
      <c r="H502" s="73"/>
    </row>
    <row r="503">
      <c r="C503" s="10"/>
      <c r="F503" s="26"/>
      <c r="G503" s="373"/>
      <c r="H503" s="73"/>
    </row>
    <row r="504">
      <c r="C504" s="10"/>
      <c r="F504" s="26"/>
      <c r="G504" s="373"/>
      <c r="H504" s="73"/>
    </row>
    <row r="505">
      <c r="C505" s="10"/>
      <c r="F505" s="26"/>
      <c r="G505" s="373"/>
      <c r="H505" s="73"/>
    </row>
    <row r="506">
      <c r="C506" s="10"/>
      <c r="F506" s="26"/>
      <c r="G506" s="373"/>
      <c r="H506" s="73"/>
    </row>
    <row r="507">
      <c r="C507" s="10"/>
      <c r="F507" s="26"/>
      <c r="G507" s="373"/>
      <c r="H507" s="73"/>
    </row>
    <row r="508">
      <c r="C508" s="10"/>
      <c r="F508" s="26"/>
      <c r="G508" s="373"/>
      <c r="H508" s="73"/>
    </row>
    <row r="509">
      <c r="C509" s="10"/>
      <c r="F509" s="26"/>
      <c r="G509" s="373"/>
      <c r="H509" s="73"/>
    </row>
    <row r="510">
      <c r="C510" s="10"/>
      <c r="F510" s="26"/>
      <c r="G510" s="373"/>
      <c r="H510" s="73"/>
    </row>
    <row r="511">
      <c r="C511" s="10"/>
      <c r="F511" s="26"/>
      <c r="G511" s="373"/>
      <c r="H511" s="73"/>
    </row>
    <row r="512">
      <c r="C512" s="10"/>
      <c r="F512" s="26"/>
      <c r="G512" s="373"/>
      <c r="H512" s="73"/>
    </row>
    <row r="513">
      <c r="C513" s="10"/>
      <c r="F513" s="26"/>
      <c r="G513" s="373"/>
      <c r="H513" s="73"/>
    </row>
    <row r="514">
      <c r="C514" s="10"/>
      <c r="F514" s="26"/>
      <c r="G514" s="373"/>
      <c r="H514" s="73"/>
    </row>
    <row r="515">
      <c r="C515" s="10"/>
      <c r="F515" s="26"/>
      <c r="G515" s="373"/>
      <c r="H515" s="73"/>
    </row>
    <row r="516">
      <c r="C516" s="10"/>
      <c r="F516" s="26"/>
      <c r="G516" s="373"/>
      <c r="H516" s="73"/>
    </row>
    <row r="517">
      <c r="C517" s="10"/>
      <c r="F517" s="26"/>
      <c r="G517" s="373"/>
      <c r="H517" s="73"/>
    </row>
    <row r="518">
      <c r="C518" s="10"/>
      <c r="F518" s="26"/>
      <c r="G518" s="373"/>
      <c r="H518" s="73"/>
    </row>
    <row r="519">
      <c r="C519" s="10"/>
      <c r="F519" s="26"/>
      <c r="G519" s="373"/>
      <c r="H519" s="73"/>
    </row>
    <row r="520">
      <c r="C520" s="10"/>
      <c r="F520" s="26"/>
      <c r="G520" s="373"/>
      <c r="H520" s="73"/>
    </row>
    <row r="521">
      <c r="C521" s="10"/>
      <c r="F521" s="26"/>
      <c r="G521" s="373"/>
      <c r="H521" s="73"/>
    </row>
    <row r="522">
      <c r="C522" s="10"/>
      <c r="F522" s="26"/>
      <c r="G522" s="373"/>
      <c r="H522" s="73"/>
    </row>
    <row r="523">
      <c r="C523" s="10"/>
      <c r="F523" s="26"/>
      <c r="G523" s="373"/>
      <c r="H523" s="73"/>
    </row>
    <row r="524">
      <c r="C524" s="10"/>
      <c r="F524" s="26"/>
      <c r="G524" s="373"/>
      <c r="H524" s="73"/>
    </row>
    <row r="525">
      <c r="C525" s="10"/>
      <c r="F525" s="26"/>
      <c r="G525" s="373"/>
      <c r="H525" s="73"/>
    </row>
    <row r="526">
      <c r="C526" s="10"/>
      <c r="F526" s="26"/>
      <c r="G526" s="373"/>
      <c r="H526" s="73"/>
    </row>
    <row r="527">
      <c r="C527" s="10"/>
      <c r="F527" s="26"/>
      <c r="G527" s="373"/>
      <c r="H527" s="73"/>
    </row>
    <row r="528">
      <c r="C528" s="10"/>
      <c r="F528" s="26"/>
      <c r="G528" s="373"/>
      <c r="H528" s="73"/>
    </row>
    <row r="529">
      <c r="C529" s="10"/>
      <c r="F529" s="26"/>
      <c r="G529" s="373"/>
      <c r="H529" s="73"/>
    </row>
    <row r="530">
      <c r="C530" s="10"/>
      <c r="F530" s="26"/>
      <c r="G530" s="373"/>
      <c r="H530" s="73"/>
    </row>
    <row r="531">
      <c r="C531" s="10"/>
      <c r="F531" s="26"/>
      <c r="G531" s="373"/>
      <c r="H531" s="73"/>
    </row>
    <row r="532">
      <c r="C532" s="10"/>
      <c r="F532" s="26"/>
      <c r="G532" s="373"/>
      <c r="H532" s="73"/>
    </row>
    <row r="533">
      <c r="C533" s="10"/>
      <c r="F533" s="26"/>
      <c r="G533" s="373"/>
      <c r="H533" s="73"/>
    </row>
    <row r="534">
      <c r="C534" s="10"/>
      <c r="F534" s="26"/>
      <c r="G534" s="373"/>
      <c r="H534" s="73"/>
    </row>
    <row r="535">
      <c r="C535" s="10"/>
      <c r="F535" s="26"/>
      <c r="G535" s="373"/>
      <c r="H535" s="73"/>
    </row>
    <row r="536">
      <c r="C536" s="10"/>
      <c r="F536" s="26"/>
      <c r="G536" s="373"/>
      <c r="H536" s="73"/>
    </row>
    <row r="537">
      <c r="C537" s="10"/>
      <c r="F537" s="26"/>
      <c r="G537" s="373"/>
      <c r="H537" s="73"/>
    </row>
    <row r="538">
      <c r="C538" s="10"/>
      <c r="F538" s="26"/>
      <c r="G538" s="373"/>
      <c r="H538" s="73"/>
    </row>
    <row r="539">
      <c r="C539" s="10"/>
      <c r="F539" s="26"/>
      <c r="G539" s="373"/>
      <c r="H539" s="73"/>
    </row>
    <row r="540">
      <c r="C540" s="10"/>
      <c r="F540" s="26"/>
      <c r="G540" s="373"/>
      <c r="H540" s="73"/>
    </row>
    <row r="541">
      <c r="C541" s="10"/>
      <c r="F541" s="26"/>
      <c r="G541" s="373"/>
      <c r="H541" s="73"/>
    </row>
    <row r="542">
      <c r="C542" s="10"/>
      <c r="F542" s="26"/>
      <c r="G542" s="373"/>
      <c r="H542" s="73"/>
    </row>
    <row r="543">
      <c r="C543" s="10"/>
      <c r="F543" s="26"/>
      <c r="G543" s="373"/>
      <c r="H543" s="73"/>
    </row>
    <row r="544">
      <c r="C544" s="10"/>
      <c r="F544" s="26"/>
      <c r="G544" s="373"/>
      <c r="H544" s="73"/>
    </row>
    <row r="545">
      <c r="C545" s="10"/>
      <c r="F545" s="26"/>
      <c r="G545" s="373"/>
      <c r="H545" s="73"/>
    </row>
    <row r="546">
      <c r="C546" s="10"/>
      <c r="F546" s="26"/>
      <c r="G546" s="373"/>
      <c r="H546" s="73"/>
    </row>
    <row r="547">
      <c r="C547" s="10"/>
      <c r="F547" s="26"/>
      <c r="G547" s="373"/>
      <c r="H547" s="73"/>
    </row>
    <row r="548">
      <c r="C548" s="10"/>
      <c r="F548" s="26"/>
      <c r="G548" s="373"/>
      <c r="H548" s="73"/>
    </row>
    <row r="549">
      <c r="C549" s="10"/>
      <c r="F549" s="26"/>
      <c r="G549" s="373"/>
      <c r="H549" s="73"/>
    </row>
    <row r="550">
      <c r="C550" s="10"/>
      <c r="F550" s="26"/>
      <c r="G550" s="373"/>
      <c r="H550" s="73"/>
    </row>
    <row r="551">
      <c r="C551" s="10"/>
      <c r="F551" s="26"/>
      <c r="G551" s="373"/>
      <c r="H551" s="73"/>
    </row>
    <row r="552">
      <c r="C552" s="10"/>
      <c r="F552" s="26"/>
      <c r="G552" s="373"/>
      <c r="H552" s="73"/>
    </row>
    <row r="553">
      <c r="C553" s="10"/>
      <c r="F553" s="26"/>
      <c r="G553" s="373"/>
      <c r="H553" s="73"/>
    </row>
    <row r="554">
      <c r="C554" s="10"/>
      <c r="F554" s="26"/>
      <c r="G554" s="373"/>
      <c r="H554" s="73"/>
    </row>
    <row r="555">
      <c r="C555" s="10"/>
      <c r="F555" s="26"/>
      <c r="G555" s="373"/>
      <c r="H555" s="73"/>
    </row>
    <row r="556">
      <c r="C556" s="10"/>
      <c r="F556" s="26"/>
      <c r="G556" s="373"/>
      <c r="H556" s="73"/>
    </row>
    <row r="557">
      <c r="C557" s="10"/>
      <c r="F557" s="26"/>
      <c r="G557" s="373"/>
      <c r="H557" s="73"/>
    </row>
    <row r="558">
      <c r="C558" s="10"/>
      <c r="F558" s="26"/>
      <c r="G558" s="373"/>
      <c r="H558" s="73"/>
    </row>
    <row r="559">
      <c r="C559" s="10"/>
      <c r="F559" s="26"/>
      <c r="G559" s="373"/>
      <c r="H559" s="73"/>
    </row>
    <row r="560">
      <c r="C560" s="10"/>
      <c r="F560" s="26"/>
      <c r="G560" s="373"/>
      <c r="H560" s="73"/>
    </row>
    <row r="561">
      <c r="C561" s="10"/>
      <c r="F561" s="26"/>
      <c r="G561" s="373"/>
      <c r="H561" s="73"/>
    </row>
    <row r="562">
      <c r="C562" s="10"/>
      <c r="F562" s="26"/>
      <c r="G562" s="373"/>
      <c r="H562" s="73"/>
    </row>
    <row r="563">
      <c r="C563" s="10"/>
      <c r="F563" s="26"/>
      <c r="G563" s="373"/>
      <c r="H563" s="73"/>
    </row>
    <row r="564">
      <c r="C564" s="10"/>
      <c r="F564" s="26"/>
      <c r="G564" s="373"/>
      <c r="H564" s="73"/>
    </row>
    <row r="565">
      <c r="C565" s="10"/>
      <c r="F565" s="26"/>
      <c r="G565" s="373"/>
      <c r="H565" s="73"/>
    </row>
    <row r="566">
      <c r="C566" s="10"/>
      <c r="F566" s="26"/>
      <c r="G566" s="373"/>
      <c r="H566" s="73"/>
    </row>
    <row r="567">
      <c r="C567" s="10"/>
      <c r="F567" s="26"/>
      <c r="G567" s="373"/>
      <c r="H567" s="73"/>
    </row>
    <row r="568">
      <c r="C568" s="10"/>
      <c r="F568" s="26"/>
      <c r="G568" s="373"/>
      <c r="H568" s="73"/>
    </row>
    <row r="569">
      <c r="C569" s="10"/>
      <c r="F569" s="26"/>
      <c r="G569" s="373"/>
      <c r="H569" s="73"/>
    </row>
    <row r="570">
      <c r="C570" s="10"/>
      <c r="F570" s="26"/>
      <c r="G570" s="373"/>
      <c r="H570" s="73"/>
    </row>
    <row r="571">
      <c r="C571" s="10"/>
      <c r="F571" s="26"/>
      <c r="G571" s="373"/>
      <c r="H571" s="73"/>
    </row>
    <row r="572">
      <c r="C572" s="10"/>
      <c r="F572" s="26"/>
      <c r="G572" s="373"/>
      <c r="H572" s="73"/>
    </row>
    <row r="573">
      <c r="C573" s="10"/>
      <c r="F573" s="26"/>
      <c r="G573" s="373"/>
      <c r="H573" s="73"/>
    </row>
    <row r="574">
      <c r="C574" s="10"/>
      <c r="F574" s="26"/>
      <c r="G574" s="373"/>
      <c r="H574" s="73"/>
    </row>
    <row r="575">
      <c r="C575" s="10"/>
      <c r="F575" s="26"/>
      <c r="G575" s="373"/>
      <c r="H575" s="73"/>
    </row>
    <row r="576">
      <c r="C576" s="10"/>
      <c r="F576" s="26"/>
      <c r="G576" s="373"/>
      <c r="H576" s="73"/>
    </row>
    <row r="577">
      <c r="C577" s="10"/>
      <c r="F577" s="26"/>
      <c r="G577" s="373"/>
      <c r="H577" s="73"/>
    </row>
    <row r="578">
      <c r="C578" s="10"/>
      <c r="F578" s="26"/>
      <c r="G578" s="373"/>
      <c r="H578" s="73"/>
    </row>
    <row r="579">
      <c r="C579" s="10"/>
      <c r="F579" s="26"/>
      <c r="G579" s="373"/>
      <c r="H579" s="73"/>
    </row>
    <row r="580">
      <c r="C580" s="10"/>
      <c r="F580" s="26"/>
      <c r="G580" s="373"/>
      <c r="H580" s="73"/>
    </row>
    <row r="581">
      <c r="C581" s="10"/>
      <c r="F581" s="26"/>
      <c r="G581" s="373"/>
      <c r="H581" s="73"/>
    </row>
    <row r="582">
      <c r="C582" s="10"/>
      <c r="F582" s="26"/>
      <c r="G582" s="373"/>
      <c r="H582" s="73"/>
    </row>
    <row r="583">
      <c r="C583" s="10"/>
      <c r="F583" s="26"/>
      <c r="G583" s="373"/>
      <c r="H583" s="73"/>
    </row>
    <row r="584">
      <c r="C584" s="10"/>
      <c r="F584" s="26"/>
      <c r="G584" s="373"/>
      <c r="H584" s="73"/>
    </row>
    <row r="585">
      <c r="C585" s="10"/>
      <c r="F585" s="26"/>
      <c r="G585" s="373"/>
      <c r="H585" s="73"/>
    </row>
    <row r="586">
      <c r="C586" s="10"/>
      <c r="F586" s="26"/>
      <c r="G586" s="373"/>
      <c r="H586" s="73"/>
    </row>
    <row r="587">
      <c r="C587" s="10"/>
      <c r="F587" s="26"/>
      <c r="G587" s="373"/>
      <c r="H587" s="73"/>
    </row>
    <row r="588">
      <c r="C588" s="10"/>
      <c r="F588" s="26"/>
      <c r="G588" s="373"/>
      <c r="H588" s="73"/>
    </row>
    <row r="589">
      <c r="C589" s="10"/>
      <c r="F589" s="26"/>
      <c r="G589" s="373"/>
      <c r="H589" s="73"/>
    </row>
    <row r="590">
      <c r="C590" s="10"/>
      <c r="F590" s="26"/>
      <c r="G590" s="373"/>
      <c r="H590" s="73"/>
    </row>
    <row r="591">
      <c r="C591" s="10"/>
      <c r="F591" s="26"/>
      <c r="G591" s="373"/>
      <c r="H591" s="73"/>
    </row>
    <row r="592">
      <c r="C592" s="10"/>
      <c r="F592" s="26"/>
      <c r="G592" s="373"/>
      <c r="H592" s="73"/>
    </row>
    <row r="593">
      <c r="C593" s="10"/>
      <c r="F593" s="26"/>
      <c r="G593" s="373"/>
      <c r="H593" s="73"/>
    </row>
    <row r="594">
      <c r="C594" s="10"/>
      <c r="F594" s="26"/>
      <c r="G594" s="373"/>
      <c r="H594" s="73"/>
    </row>
    <row r="595">
      <c r="C595" s="10"/>
      <c r="F595" s="26"/>
      <c r="G595" s="373"/>
      <c r="H595" s="73"/>
    </row>
    <row r="596">
      <c r="C596" s="10"/>
      <c r="F596" s="26"/>
      <c r="G596" s="373"/>
      <c r="H596" s="73"/>
    </row>
    <row r="597">
      <c r="C597" s="10"/>
      <c r="F597" s="26"/>
      <c r="G597" s="373"/>
      <c r="H597" s="73"/>
    </row>
    <row r="598">
      <c r="C598" s="10"/>
      <c r="F598" s="26"/>
      <c r="G598" s="373"/>
      <c r="H598" s="73"/>
    </row>
    <row r="599">
      <c r="C599" s="10"/>
      <c r="F599" s="26"/>
      <c r="G599" s="373"/>
      <c r="H599" s="73"/>
    </row>
    <row r="600">
      <c r="C600" s="10"/>
      <c r="F600" s="26"/>
      <c r="G600" s="373"/>
      <c r="H600" s="73"/>
    </row>
    <row r="601">
      <c r="C601" s="10"/>
      <c r="F601" s="26"/>
      <c r="G601" s="373"/>
      <c r="H601" s="73"/>
    </row>
    <row r="602">
      <c r="C602" s="10"/>
      <c r="F602" s="26"/>
      <c r="G602" s="373"/>
      <c r="H602" s="73"/>
    </row>
    <row r="603">
      <c r="C603" s="10"/>
      <c r="F603" s="26"/>
      <c r="G603" s="373"/>
      <c r="H603" s="73"/>
    </row>
    <row r="604">
      <c r="C604" s="10"/>
      <c r="F604" s="26"/>
      <c r="G604" s="373"/>
      <c r="H604" s="73"/>
    </row>
    <row r="605">
      <c r="C605" s="10"/>
      <c r="F605" s="26"/>
      <c r="G605" s="373"/>
      <c r="H605" s="73"/>
    </row>
    <row r="606">
      <c r="C606" s="10"/>
      <c r="F606" s="26"/>
      <c r="G606" s="373"/>
      <c r="H606" s="73"/>
    </row>
    <row r="607">
      <c r="C607" s="10"/>
      <c r="F607" s="26"/>
      <c r="G607" s="373"/>
      <c r="H607" s="73"/>
    </row>
    <row r="608">
      <c r="C608" s="10"/>
      <c r="F608" s="26"/>
      <c r="G608" s="373"/>
      <c r="H608" s="73"/>
    </row>
    <row r="609">
      <c r="C609" s="10"/>
      <c r="F609" s="26"/>
      <c r="G609" s="373"/>
      <c r="H609" s="73"/>
    </row>
    <row r="610">
      <c r="C610" s="10"/>
      <c r="F610" s="26"/>
      <c r="G610" s="373"/>
      <c r="H610" s="73"/>
    </row>
    <row r="611">
      <c r="C611" s="10"/>
      <c r="F611" s="26"/>
      <c r="G611" s="373"/>
      <c r="H611" s="73"/>
    </row>
    <row r="612">
      <c r="C612" s="10"/>
      <c r="F612" s="26"/>
      <c r="G612" s="373"/>
      <c r="H612" s="73"/>
    </row>
    <row r="613">
      <c r="C613" s="10"/>
      <c r="F613" s="26"/>
      <c r="G613" s="373"/>
      <c r="H613" s="73"/>
    </row>
    <row r="614">
      <c r="C614" s="10"/>
      <c r="F614" s="26"/>
      <c r="G614" s="373"/>
      <c r="H614" s="73"/>
    </row>
    <row r="615">
      <c r="C615" s="10"/>
      <c r="F615" s="26"/>
      <c r="G615" s="373"/>
      <c r="H615" s="73"/>
    </row>
    <row r="616">
      <c r="C616" s="10"/>
      <c r="F616" s="26"/>
      <c r="G616" s="373"/>
      <c r="H616" s="73"/>
    </row>
    <row r="617">
      <c r="C617" s="10"/>
      <c r="F617" s="26"/>
      <c r="G617" s="373"/>
      <c r="H617" s="73"/>
    </row>
    <row r="618">
      <c r="C618" s="10"/>
      <c r="F618" s="26"/>
      <c r="G618" s="373"/>
      <c r="H618" s="73"/>
    </row>
    <row r="619">
      <c r="C619" s="10"/>
      <c r="F619" s="26"/>
      <c r="G619" s="373"/>
      <c r="H619" s="73"/>
    </row>
    <row r="620">
      <c r="C620" s="10"/>
      <c r="F620" s="26"/>
      <c r="G620" s="373"/>
      <c r="H620" s="73"/>
    </row>
    <row r="621">
      <c r="C621" s="10"/>
      <c r="F621" s="26"/>
      <c r="G621" s="373"/>
      <c r="H621" s="73"/>
    </row>
    <row r="622">
      <c r="C622" s="10"/>
      <c r="F622" s="26"/>
      <c r="G622" s="373"/>
      <c r="H622" s="73"/>
    </row>
    <row r="623">
      <c r="C623" s="10"/>
      <c r="F623" s="26"/>
      <c r="G623" s="373"/>
      <c r="H623" s="73"/>
    </row>
    <row r="624">
      <c r="C624" s="10"/>
      <c r="F624" s="26"/>
      <c r="G624" s="373"/>
      <c r="H624" s="73"/>
    </row>
    <row r="625">
      <c r="C625" s="10"/>
      <c r="F625" s="26"/>
      <c r="G625" s="373"/>
      <c r="H625" s="73"/>
    </row>
    <row r="626">
      <c r="C626" s="10"/>
      <c r="F626" s="26"/>
      <c r="G626" s="373"/>
      <c r="H626" s="73"/>
    </row>
    <row r="627">
      <c r="C627" s="10"/>
      <c r="F627" s="26"/>
      <c r="G627" s="373"/>
      <c r="H627" s="73"/>
    </row>
    <row r="628">
      <c r="C628" s="10"/>
      <c r="F628" s="26"/>
      <c r="G628" s="373"/>
      <c r="H628" s="73"/>
    </row>
    <row r="629">
      <c r="C629" s="10"/>
      <c r="F629" s="26"/>
      <c r="G629" s="373"/>
      <c r="H629" s="73"/>
    </row>
    <row r="630">
      <c r="C630" s="10"/>
      <c r="F630" s="26"/>
      <c r="G630" s="373"/>
      <c r="H630" s="73"/>
    </row>
    <row r="631">
      <c r="C631" s="10"/>
      <c r="F631" s="26"/>
      <c r="G631" s="373"/>
      <c r="H631" s="73"/>
    </row>
    <row r="632">
      <c r="C632" s="10"/>
      <c r="F632" s="26"/>
      <c r="G632" s="373"/>
      <c r="H632" s="73"/>
    </row>
    <row r="633">
      <c r="C633" s="10"/>
      <c r="F633" s="26"/>
      <c r="G633" s="373"/>
      <c r="H633" s="73"/>
    </row>
    <row r="634">
      <c r="C634" s="10"/>
      <c r="F634" s="26"/>
      <c r="G634" s="373"/>
      <c r="H634" s="73"/>
    </row>
    <row r="635">
      <c r="C635" s="10"/>
      <c r="F635" s="26"/>
      <c r="G635" s="373"/>
      <c r="H635" s="73"/>
    </row>
    <row r="636">
      <c r="C636" s="10"/>
      <c r="F636" s="26"/>
      <c r="G636" s="373"/>
      <c r="H636" s="73"/>
    </row>
    <row r="637">
      <c r="C637" s="10"/>
      <c r="F637" s="26"/>
      <c r="G637" s="373"/>
      <c r="H637" s="73"/>
    </row>
    <row r="638">
      <c r="C638" s="10"/>
      <c r="F638" s="26"/>
      <c r="G638" s="373"/>
      <c r="H638" s="73"/>
    </row>
    <row r="639">
      <c r="C639" s="10"/>
      <c r="F639" s="26"/>
      <c r="G639" s="373"/>
      <c r="H639" s="73"/>
    </row>
    <row r="640">
      <c r="C640" s="10"/>
      <c r="F640" s="26"/>
      <c r="G640" s="373"/>
      <c r="H640" s="73"/>
    </row>
    <row r="641">
      <c r="C641" s="10"/>
      <c r="F641" s="26"/>
      <c r="G641" s="373"/>
      <c r="H641" s="73"/>
    </row>
    <row r="642">
      <c r="C642" s="10"/>
      <c r="F642" s="26"/>
      <c r="G642" s="373"/>
      <c r="H642" s="73"/>
    </row>
    <row r="643">
      <c r="C643" s="10"/>
      <c r="F643" s="26"/>
      <c r="G643" s="373"/>
      <c r="H643" s="73"/>
    </row>
    <row r="644">
      <c r="C644" s="10"/>
      <c r="F644" s="26"/>
      <c r="G644" s="373"/>
      <c r="H644" s="73"/>
    </row>
    <row r="645">
      <c r="C645" s="10"/>
      <c r="F645" s="26"/>
      <c r="G645" s="373"/>
      <c r="H645" s="73"/>
    </row>
    <row r="646">
      <c r="C646" s="10"/>
      <c r="F646" s="26"/>
      <c r="G646" s="373"/>
      <c r="H646" s="73"/>
    </row>
    <row r="647">
      <c r="C647" s="10"/>
      <c r="F647" s="26"/>
      <c r="G647" s="373"/>
      <c r="H647" s="73"/>
    </row>
    <row r="648">
      <c r="C648" s="10"/>
      <c r="F648" s="26"/>
      <c r="G648" s="373"/>
      <c r="H648" s="73"/>
    </row>
    <row r="649">
      <c r="C649" s="10"/>
      <c r="F649" s="26"/>
      <c r="G649" s="373"/>
      <c r="H649" s="73"/>
    </row>
    <row r="650">
      <c r="C650" s="10"/>
      <c r="F650" s="26"/>
      <c r="G650" s="373"/>
      <c r="H650" s="73"/>
    </row>
    <row r="651">
      <c r="C651" s="10"/>
      <c r="F651" s="26"/>
      <c r="G651" s="373"/>
      <c r="H651" s="73"/>
    </row>
    <row r="652">
      <c r="C652" s="10"/>
      <c r="F652" s="26"/>
      <c r="G652" s="373"/>
      <c r="H652" s="73"/>
    </row>
    <row r="653">
      <c r="C653" s="10"/>
      <c r="F653" s="26"/>
      <c r="G653" s="373"/>
      <c r="H653" s="73"/>
    </row>
    <row r="654">
      <c r="C654" s="10"/>
      <c r="F654" s="26"/>
      <c r="G654" s="373"/>
      <c r="H654" s="73"/>
    </row>
    <row r="655">
      <c r="C655" s="10"/>
      <c r="F655" s="26"/>
      <c r="G655" s="373"/>
      <c r="H655" s="73"/>
    </row>
    <row r="656">
      <c r="C656" s="10"/>
      <c r="F656" s="26"/>
      <c r="G656" s="373"/>
      <c r="H656" s="73"/>
    </row>
    <row r="657">
      <c r="C657" s="10"/>
      <c r="F657" s="26"/>
      <c r="G657" s="373"/>
      <c r="H657" s="73"/>
    </row>
    <row r="658">
      <c r="C658" s="10"/>
      <c r="F658" s="26"/>
      <c r="G658" s="373"/>
      <c r="H658" s="73"/>
    </row>
    <row r="659">
      <c r="C659" s="10"/>
      <c r="F659" s="26"/>
      <c r="G659" s="373"/>
      <c r="H659" s="73"/>
    </row>
    <row r="660">
      <c r="C660" s="10"/>
      <c r="F660" s="26"/>
      <c r="G660" s="373"/>
      <c r="H660" s="73"/>
    </row>
    <row r="661">
      <c r="C661" s="10"/>
      <c r="F661" s="26"/>
      <c r="G661" s="373"/>
      <c r="H661" s="73"/>
    </row>
    <row r="662">
      <c r="C662" s="10"/>
      <c r="F662" s="26"/>
      <c r="G662" s="373"/>
      <c r="H662" s="73"/>
    </row>
    <row r="663">
      <c r="C663" s="10"/>
      <c r="F663" s="26"/>
      <c r="G663" s="373"/>
      <c r="H663" s="73"/>
    </row>
    <row r="664">
      <c r="C664" s="10"/>
      <c r="F664" s="26"/>
      <c r="G664" s="373"/>
      <c r="H664" s="73"/>
    </row>
    <row r="665">
      <c r="C665" s="10"/>
      <c r="F665" s="26"/>
      <c r="G665" s="373"/>
      <c r="H665" s="73"/>
    </row>
    <row r="666">
      <c r="C666" s="10"/>
      <c r="F666" s="26"/>
      <c r="G666" s="373"/>
      <c r="H666" s="73"/>
    </row>
    <row r="667">
      <c r="C667" s="10"/>
      <c r="F667" s="26"/>
      <c r="G667" s="373"/>
      <c r="H667" s="73"/>
    </row>
    <row r="668">
      <c r="C668" s="10"/>
      <c r="F668" s="26"/>
      <c r="G668" s="373"/>
      <c r="H668" s="73"/>
    </row>
    <row r="669">
      <c r="C669" s="10"/>
      <c r="F669" s="26"/>
      <c r="G669" s="373"/>
      <c r="H669" s="73"/>
    </row>
    <row r="670">
      <c r="C670" s="10"/>
      <c r="F670" s="26"/>
      <c r="G670" s="373"/>
      <c r="H670" s="73"/>
    </row>
    <row r="671">
      <c r="C671" s="10"/>
      <c r="F671" s="26"/>
      <c r="G671" s="373"/>
      <c r="H671" s="73"/>
    </row>
    <row r="672">
      <c r="C672" s="10"/>
      <c r="F672" s="26"/>
      <c r="G672" s="373"/>
      <c r="H672" s="73"/>
    </row>
    <row r="673">
      <c r="C673" s="10"/>
      <c r="F673" s="26"/>
      <c r="G673" s="373"/>
      <c r="H673" s="73"/>
    </row>
    <row r="674">
      <c r="C674" s="10"/>
      <c r="F674" s="26"/>
      <c r="G674" s="373"/>
      <c r="H674" s="73"/>
    </row>
    <row r="675">
      <c r="C675" s="10"/>
      <c r="F675" s="26"/>
      <c r="G675" s="373"/>
      <c r="H675" s="73"/>
    </row>
    <row r="676">
      <c r="C676" s="10"/>
      <c r="F676" s="26"/>
      <c r="G676" s="373"/>
      <c r="H676" s="73"/>
    </row>
    <row r="677">
      <c r="C677" s="10"/>
      <c r="F677" s="26"/>
      <c r="G677" s="373"/>
      <c r="H677" s="73"/>
    </row>
    <row r="678">
      <c r="C678" s="10"/>
      <c r="F678" s="26"/>
      <c r="G678" s="373"/>
      <c r="H678" s="73"/>
    </row>
    <row r="679">
      <c r="C679" s="10"/>
      <c r="F679" s="26"/>
      <c r="G679" s="373"/>
      <c r="H679" s="73"/>
    </row>
    <row r="680">
      <c r="C680" s="10"/>
      <c r="F680" s="26"/>
      <c r="G680" s="373"/>
      <c r="H680" s="73"/>
    </row>
    <row r="681">
      <c r="C681" s="10"/>
      <c r="F681" s="26"/>
      <c r="G681" s="373"/>
      <c r="H681" s="73"/>
    </row>
    <row r="682">
      <c r="C682" s="10"/>
      <c r="F682" s="26"/>
      <c r="G682" s="373"/>
      <c r="H682" s="73"/>
    </row>
    <row r="683">
      <c r="C683" s="10"/>
      <c r="F683" s="26"/>
      <c r="G683" s="373"/>
      <c r="H683" s="73"/>
    </row>
    <row r="684">
      <c r="C684" s="10"/>
      <c r="F684" s="26"/>
      <c r="G684" s="373"/>
      <c r="H684" s="73"/>
    </row>
    <row r="685">
      <c r="C685" s="10"/>
      <c r="F685" s="26"/>
      <c r="G685" s="373"/>
      <c r="H685" s="73"/>
    </row>
    <row r="686">
      <c r="C686" s="10"/>
      <c r="F686" s="26"/>
      <c r="G686" s="373"/>
      <c r="H686" s="73"/>
    </row>
    <row r="687">
      <c r="C687" s="10"/>
      <c r="F687" s="26"/>
      <c r="G687" s="373"/>
      <c r="H687" s="73"/>
    </row>
    <row r="688">
      <c r="C688" s="10"/>
      <c r="F688" s="26"/>
      <c r="G688" s="373"/>
      <c r="H688" s="73"/>
    </row>
    <row r="689">
      <c r="C689" s="10"/>
      <c r="F689" s="26"/>
      <c r="G689" s="373"/>
      <c r="H689" s="73"/>
    </row>
    <row r="690">
      <c r="C690" s="10"/>
      <c r="F690" s="26"/>
      <c r="G690" s="373"/>
      <c r="H690" s="73"/>
    </row>
    <row r="691">
      <c r="C691" s="10"/>
      <c r="F691" s="26"/>
      <c r="G691" s="373"/>
      <c r="H691" s="73"/>
    </row>
    <row r="692">
      <c r="C692" s="10"/>
      <c r="F692" s="26"/>
      <c r="G692" s="373"/>
      <c r="H692" s="73"/>
    </row>
    <row r="693">
      <c r="C693" s="10"/>
      <c r="F693" s="26"/>
      <c r="G693" s="373"/>
      <c r="H693" s="73"/>
    </row>
    <row r="694">
      <c r="C694" s="10"/>
      <c r="F694" s="26"/>
      <c r="G694" s="373"/>
      <c r="H694" s="73"/>
    </row>
    <row r="695">
      <c r="C695" s="10"/>
      <c r="F695" s="26"/>
      <c r="G695" s="373"/>
      <c r="H695" s="73"/>
    </row>
    <row r="696">
      <c r="C696" s="10"/>
      <c r="F696" s="26"/>
      <c r="G696" s="373"/>
      <c r="H696" s="73"/>
    </row>
    <row r="697">
      <c r="C697" s="10"/>
      <c r="F697" s="26"/>
      <c r="G697" s="373"/>
      <c r="H697" s="73"/>
    </row>
    <row r="698">
      <c r="C698" s="10"/>
      <c r="F698" s="26"/>
      <c r="G698" s="373"/>
      <c r="H698" s="73"/>
    </row>
    <row r="699">
      <c r="C699" s="10"/>
      <c r="F699" s="26"/>
      <c r="G699" s="373"/>
      <c r="H699" s="73"/>
    </row>
    <row r="700">
      <c r="C700" s="10"/>
      <c r="F700" s="26"/>
      <c r="G700" s="373"/>
      <c r="H700" s="73"/>
    </row>
    <row r="701">
      <c r="C701" s="10"/>
      <c r="F701" s="26"/>
      <c r="G701" s="373"/>
      <c r="H701" s="73"/>
    </row>
    <row r="702">
      <c r="C702" s="10"/>
      <c r="F702" s="26"/>
      <c r="G702" s="373"/>
      <c r="H702" s="73"/>
    </row>
    <row r="703">
      <c r="C703" s="10"/>
      <c r="F703" s="26"/>
      <c r="G703" s="373"/>
      <c r="H703" s="73"/>
    </row>
    <row r="704">
      <c r="C704" s="10"/>
      <c r="F704" s="26"/>
      <c r="G704" s="373"/>
      <c r="H704" s="73"/>
    </row>
    <row r="705">
      <c r="C705" s="10"/>
      <c r="F705" s="26"/>
      <c r="G705" s="373"/>
      <c r="H705" s="73"/>
    </row>
    <row r="706">
      <c r="C706" s="10"/>
      <c r="F706" s="26"/>
      <c r="G706" s="373"/>
      <c r="H706" s="73"/>
    </row>
    <row r="707">
      <c r="C707" s="10"/>
      <c r="F707" s="26"/>
      <c r="G707" s="373"/>
      <c r="H707" s="73"/>
    </row>
    <row r="708">
      <c r="C708" s="10"/>
      <c r="F708" s="26"/>
      <c r="G708" s="373"/>
      <c r="H708" s="73"/>
    </row>
    <row r="709">
      <c r="C709" s="10"/>
      <c r="F709" s="26"/>
      <c r="G709" s="373"/>
      <c r="H709" s="73"/>
    </row>
    <row r="710">
      <c r="C710" s="10"/>
      <c r="F710" s="26"/>
      <c r="G710" s="373"/>
      <c r="H710" s="73"/>
    </row>
    <row r="711">
      <c r="C711" s="10"/>
      <c r="F711" s="26"/>
      <c r="G711" s="373"/>
      <c r="H711" s="73"/>
    </row>
    <row r="712">
      <c r="C712" s="10"/>
      <c r="F712" s="26"/>
      <c r="G712" s="373"/>
      <c r="H712" s="73"/>
    </row>
    <row r="713">
      <c r="C713" s="10"/>
      <c r="F713" s="26"/>
      <c r="G713" s="373"/>
      <c r="H713" s="73"/>
    </row>
    <row r="714">
      <c r="C714" s="10"/>
      <c r="F714" s="26"/>
      <c r="G714" s="373"/>
      <c r="H714" s="73"/>
    </row>
    <row r="715">
      <c r="C715" s="10"/>
      <c r="F715" s="26"/>
      <c r="G715" s="373"/>
      <c r="H715" s="73"/>
    </row>
    <row r="716">
      <c r="C716" s="10"/>
      <c r="F716" s="26"/>
      <c r="G716" s="373"/>
      <c r="H716" s="73"/>
    </row>
    <row r="717">
      <c r="C717" s="10"/>
      <c r="F717" s="26"/>
      <c r="G717" s="373"/>
      <c r="H717" s="73"/>
    </row>
    <row r="718">
      <c r="C718" s="10"/>
      <c r="F718" s="26"/>
      <c r="G718" s="373"/>
      <c r="H718" s="73"/>
    </row>
    <row r="719">
      <c r="C719" s="10"/>
      <c r="F719" s="26"/>
      <c r="G719" s="373"/>
      <c r="H719" s="73"/>
    </row>
    <row r="720">
      <c r="C720" s="10"/>
      <c r="F720" s="26"/>
      <c r="G720" s="373"/>
      <c r="H720" s="73"/>
    </row>
    <row r="721">
      <c r="C721" s="10"/>
      <c r="F721" s="26"/>
      <c r="G721" s="373"/>
      <c r="H721" s="73"/>
    </row>
    <row r="722">
      <c r="C722" s="10"/>
      <c r="F722" s="26"/>
      <c r="G722" s="373"/>
      <c r="H722" s="73"/>
    </row>
    <row r="723">
      <c r="C723" s="10"/>
      <c r="F723" s="26"/>
      <c r="G723" s="373"/>
      <c r="H723" s="73"/>
    </row>
    <row r="724">
      <c r="C724" s="10"/>
      <c r="F724" s="26"/>
      <c r="G724" s="373"/>
      <c r="H724" s="73"/>
    </row>
    <row r="725">
      <c r="C725" s="10"/>
      <c r="F725" s="26"/>
      <c r="G725" s="373"/>
      <c r="H725" s="73"/>
    </row>
    <row r="726">
      <c r="C726" s="10"/>
      <c r="F726" s="26"/>
      <c r="G726" s="373"/>
      <c r="H726" s="73"/>
    </row>
    <row r="727">
      <c r="C727" s="10"/>
      <c r="F727" s="26"/>
      <c r="G727" s="373"/>
      <c r="H727" s="73"/>
    </row>
    <row r="728">
      <c r="C728" s="10"/>
      <c r="F728" s="26"/>
      <c r="G728" s="373"/>
      <c r="H728" s="73"/>
    </row>
    <row r="729">
      <c r="C729" s="10"/>
      <c r="F729" s="26"/>
      <c r="G729" s="373"/>
      <c r="H729" s="73"/>
    </row>
    <row r="730">
      <c r="C730" s="10"/>
      <c r="F730" s="26"/>
      <c r="G730" s="373"/>
      <c r="H730" s="73"/>
    </row>
    <row r="731">
      <c r="C731" s="10"/>
      <c r="F731" s="26"/>
      <c r="G731" s="373"/>
      <c r="H731" s="73"/>
    </row>
    <row r="732">
      <c r="C732" s="10"/>
      <c r="F732" s="26"/>
      <c r="G732" s="373"/>
      <c r="H732" s="73"/>
    </row>
    <row r="733">
      <c r="C733" s="10"/>
      <c r="F733" s="26"/>
      <c r="G733" s="373"/>
      <c r="H733" s="73"/>
    </row>
    <row r="734">
      <c r="C734" s="10"/>
      <c r="F734" s="26"/>
      <c r="G734" s="373"/>
      <c r="H734" s="73"/>
    </row>
    <row r="735">
      <c r="C735" s="10"/>
      <c r="F735" s="26"/>
      <c r="G735" s="373"/>
      <c r="H735" s="73"/>
    </row>
    <row r="736">
      <c r="C736" s="10"/>
      <c r="F736" s="26"/>
      <c r="G736" s="373"/>
      <c r="H736" s="73"/>
    </row>
    <row r="737">
      <c r="C737" s="10"/>
      <c r="F737" s="26"/>
      <c r="G737" s="373"/>
      <c r="H737" s="73"/>
    </row>
    <row r="738">
      <c r="C738" s="10"/>
      <c r="F738" s="26"/>
      <c r="G738" s="373"/>
      <c r="H738" s="73"/>
    </row>
    <row r="739">
      <c r="C739" s="10"/>
      <c r="F739" s="26"/>
      <c r="G739" s="373"/>
      <c r="H739" s="73"/>
    </row>
    <row r="740">
      <c r="C740" s="10"/>
      <c r="F740" s="26"/>
      <c r="G740" s="373"/>
      <c r="H740" s="73"/>
    </row>
    <row r="741">
      <c r="C741" s="10"/>
      <c r="F741" s="26"/>
      <c r="G741" s="373"/>
      <c r="H741" s="73"/>
    </row>
    <row r="742">
      <c r="C742" s="10"/>
      <c r="F742" s="26"/>
      <c r="G742" s="373"/>
      <c r="H742" s="73"/>
    </row>
    <row r="743">
      <c r="C743" s="10"/>
      <c r="F743" s="26"/>
      <c r="G743" s="373"/>
      <c r="H743" s="73"/>
    </row>
    <row r="744">
      <c r="C744" s="10"/>
      <c r="F744" s="26"/>
      <c r="G744" s="373"/>
      <c r="H744" s="73"/>
    </row>
    <row r="745">
      <c r="C745" s="10"/>
      <c r="F745" s="26"/>
      <c r="G745" s="373"/>
      <c r="H745" s="73"/>
    </row>
    <row r="746">
      <c r="C746" s="10"/>
      <c r="F746" s="26"/>
      <c r="G746" s="373"/>
      <c r="H746" s="73"/>
    </row>
    <row r="747">
      <c r="C747" s="10"/>
      <c r="F747" s="26"/>
      <c r="G747" s="373"/>
      <c r="H747" s="73"/>
    </row>
    <row r="748">
      <c r="C748" s="10"/>
      <c r="F748" s="26"/>
      <c r="G748" s="373"/>
      <c r="H748" s="73"/>
    </row>
    <row r="749">
      <c r="C749" s="10"/>
      <c r="F749" s="26"/>
      <c r="G749" s="373"/>
      <c r="H749" s="73"/>
    </row>
    <row r="750">
      <c r="C750" s="10"/>
      <c r="F750" s="26"/>
      <c r="G750" s="373"/>
      <c r="H750" s="73"/>
    </row>
    <row r="751">
      <c r="C751" s="10"/>
      <c r="F751" s="26"/>
      <c r="G751" s="373"/>
      <c r="H751" s="73"/>
    </row>
    <row r="752">
      <c r="C752" s="10"/>
      <c r="F752" s="26"/>
      <c r="G752" s="373"/>
      <c r="H752" s="73"/>
    </row>
    <row r="753">
      <c r="C753" s="10"/>
      <c r="F753" s="26"/>
      <c r="G753" s="373"/>
      <c r="H753" s="73"/>
    </row>
    <row r="754">
      <c r="C754" s="10"/>
      <c r="F754" s="26"/>
      <c r="G754" s="373"/>
      <c r="H754" s="73"/>
    </row>
    <row r="755">
      <c r="C755" s="10"/>
      <c r="F755" s="26"/>
      <c r="G755" s="373"/>
      <c r="H755" s="73"/>
    </row>
    <row r="756">
      <c r="C756" s="10"/>
      <c r="F756" s="26"/>
      <c r="G756" s="373"/>
      <c r="H756" s="73"/>
    </row>
    <row r="757">
      <c r="C757" s="10"/>
      <c r="F757" s="26"/>
      <c r="G757" s="373"/>
      <c r="H757" s="73"/>
    </row>
    <row r="758">
      <c r="C758" s="10"/>
      <c r="F758" s="26"/>
      <c r="G758" s="373"/>
      <c r="H758" s="73"/>
    </row>
    <row r="759">
      <c r="C759" s="10"/>
      <c r="F759" s="26"/>
      <c r="G759" s="373"/>
      <c r="H759" s="73"/>
    </row>
    <row r="760">
      <c r="C760" s="10"/>
      <c r="F760" s="26"/>
      <c r="G760" s="373"/>
      <c r="H760" s="73"/>
    </row>
    <row r="761">
      <c r="C761" s="10"/>
      <c r="F761" s="26"/>
      <c r="G761" s="373"/>
      <c r="H761" s="73"/>
    </row>
    <row r="762">
      <c r="C762" s="10"/>
      <c r="F762" s="26"/>
      <c r="G762" s="373"/>
      <c r="H762" s="73"/>
    </row>
    <row r="763">
      <c r="C763" s="10"/>
      <c r="F763" s="26"/>
      <c r="G763" s="373"/>
      <c r="H763" s="73"/>
    </row>
    <row r="764">
      <c r="C764" s="10"/>
      <c r="F764" s="26"/>
      <c r="G764" s="373"/>
      <c r="H764" s="73"/>
    </row>
    <row r="765">
      <c r="C765" s="10"/>
      <c r="F765" s="26"/>
      <c r="G765" s="373"/>
      <c r="H765" s="73"/>
    </row>
    <row r="766">
      <c r="C766" s="10"/>
      <c r="F766" s="26"/>
      <c r="G766" s="373"/>
      <c r="H766" s="73"/>
    </row>
    <row r="767">
      <c r="C767" s="10"/>
      <c r="F767" s="26"/>
      <c r="G767" s="373"/>
      <c r="H767" s="73"/>
    </row>
    <row r="768">
      <c r="C768" s="10"/>
      <c r="F768" s="26"/>
      <c r="G768" s="373"/>
      <c r="H768" s="73"/>
    </row>
    <row r="769">
      <c r="C769" s="10"/>
      <c r="F769" s="26"/>
      <c r="G769" s="373"/>
      <c r="H769" s="73"/>
    </row>
    <row r="770">
      <c r="C770" s="10"/>
      <c r="F770" s="26"/>
      <c r="G770" s="373"/>
      <c r="H770" s="73"/>
    </row>
    <row r="771">
      <c r="C771" s="10"/>
      <c r="F771" s="26"/>
      <c r="G771" s="373"/>
      <c r="H771" s="73"/>
    </row>
    <row r="772">
      <c r="C772" s="10"/>
      <c r="F772" s="26"/>
      <c r="G772" s="373"/>
      <c r="H772" s="73"/>
    </row>
    <row r="773">
      <c r="C773" s="10"/>
      <c r="F773" s="26"/>
      <c r="G773" s="373"/>
      <c r="H773" s="73"/>
    </row>
    <row r="774">
      <c r="C774" s="10"/>
      <c r="F774" s="26"/>
      <c r="G774" s="373"/>
      <c r="H774" s="73"/>
    </row>
    <row r="775">
      <c r="C775" s="10"/>
      <c r="F775" s="26"/>
      <c r="G775" s="373"/>
      <c r="H775" s="73"/>
    </row>
    <row r="776">
      <c r="C776" s="10"/>
      <c r="F776" s="26"/>
      <c r="G776" s="373"/>
      <c r="H776" s="73"/>
    </row>
    <row r="777">
      <c r="C777" s="10"/>
      <c r="F777" s="26"/>
      <c r="G777" s="373"/>
      <c r="H777" s="73"/>
    </row>
    <row r="778">
      <c r="C778" s="10"/>
      <c r="F778" s="26"/>
      <c r="G778" s="373"/>
      <c r="H778" s="73"/>
    </row>
    <row r="779">
      <c r="C779" s="10"/>
      <c r="F779" s="26"/>
      <c r="G779" s="373"/>
      <c r="H779" s="73"/>
    </row>
    <row r="780">
      <c r="C780" s="10"/>
      <c r="F780" s="26"/>
      <c r="G780" s="373"/>
      <c r="H780" s="73"/>
    </row>
    <row r="781">
      <c r="C781" s="10"/>
      <c r="F781" s="26"/>
      <c r="G781" s="373"/>
      <c r="H781" s="73"/>
    </row>
    <row r="782">
      <c r="C782" s="10"/>
      <c r="F782" s="26"/>
      <c r="G782" s="373"/>
      <c r="H782" s="73"/>
    </row>
    <row r="783">
      <c r="C783" s="10"/>
      <c r="F783" s="26"/>
      <c r="G783" s="373"/>
      <c r="H783" s="73"/>
    </row>
    <row r="784">
      <c r="C784" s="10"/>
      <c r="F784" s="26"/>
      <c r="G784" s="373"/>
      <c r="H784" s="73"/>
    </row>
    <row r="785">
      <c r="C785" s="10"/>
      <c r="F785" s="26"/>
      <c r="G785" s="373"/>
      <c r="H785" s="73"/>
    </row>
    <row r="786">
      <c r="C786" s="10"/>
      <c r="F786" s="26"/>
      <c r="G786" s="373"/>
      <c r="H786" s="73"/>
    </row>
    <row r="787">
      <c r="C787" s="10"/>
      <c r="F787" s="26"/>
      <c r="G787" s="373"/>
      <c r="H787" s="73"/>
    </row>
    <row r="788">
      <c r="C788" s="10"/>
      <c r="F788" s="26"/>
      <c r="G788" s="373"/>
      <c r="H788" s="73"/>
    </row>
    <row r="789">
      <c r="C789" s="10"/>
      <c r="F789" s="26"/>
      <c r="G789" s="373"/>
      <c r="H789" s="73"/>
    </row>
    <row r="790">
      <c r="C790" s="10"/>
      <c r="F790" s="26"/>
      <c r="G790" s="373"/>
      <c r="H790" s="73"/>
    </row>
    <row r="791">
      <c r="C791" s="10"/>
      <c r="F791" s="26"/>
      <c r="G791" s="373"/>
      <c r="H791" s="73"/>
    </row>
    <row r="792">
      <c r="C792" s="10"/>
      <c r="F792" s="26"/>
      <c r="G792" s="373"/>
      <c r="H792" s="73"/>
    </row>
    <row r="793">
      <c r="C793" s="10"/>
      <c r="F793" s="26"/>
      <c r="G793" s="373"/>
      <c r="H793" s="73"/>
    </row>
    <row r="794">
      <c r="C794" s="10"/>
      <c r="F794" s="26"/>
      <c r="G794" s="373"/>
      <c r="H794" s="73"/>
    </row>
    <row r="795">
      <c r="C795" s="10"/>
      <c r="F795" s="26"/>
      <c r="G795" s="373"/>
      <c r="H795" s="73"/>
    </row>
    <row r="796">
      <c r="C796" s="10"/>
      <c r="F796" s="26"/>
      <c r="G796" s="373"/>
      <c r="H796" s="73"/>
    </row>
    <row r="797">
      <c r="C797" s="10"/>
      <c r="F797" s="26"/>
      <c r="G797" s="373"/>
      <c r="H797" s="73"/>
    </row>
    <row r="798">
      <c r="C798" s="10"/>
      <c r="F798" s="26"/>
      <c r="G798" s="373"/>
      <c r="H798" s="73"/>
    </row>
    <row r="799">
      <c r="C799" s="10"/>
      <c r="F799" s="26"/>
      <c r="G799" s="373"/>
      <c r="H799" s="73"/>
    </row>
    <row r="800">
      <c r="C800" s="10"/>
      <c r="F800" s="26"/>
      <c r="G800" s="373"/>
      <c r="H800" s="73"/>
    </row>
    <row r="801">
      <c r="C801" s="10"/>
      <c r="F801" s="26"/>
      <c r="G801" s="373"/>
      <c r="H801" s="73"/>
    </row>
    <row r="802">
      <c r="C802" s="10"/>
      <c r="F802" s="26"/>
      <c r="G802" s="373"/>
      <c r="H802" s="73"/>
    </row>
    <row r="803">
      <c r="C803" s="10"/>
      <c r="F803" s="26"/>
      <c r="G803" s="373"/>
      <c r="H803" s="73"/>
    </row>
    <row r="804">
      <c r="C804" s="10"/>
      <c r="F804" s="26"/>
      <c r="G804" s="373"/>
      <c r="H804" s="73"/>
    </row>
    <row r="805">
      <c r="C805" s="10"/>
      <c r="F805" s="26"/>
      <c r="G805" s="373"/>
      <c r="H805" s="73"/>
    </row>
    <row r="806">
      <c r="C806" s="10"/>
      <c r="F806" s="26"/>
      <c r="G806" s="373"/>
      <c r="H806" s="73"/>
    </row>
    <row r="807">
      <c r="C807" s="10"/>
      <c r="F807" s="26"/>
      <c r="G807" s="373"/>
      <c r="H807" s="73"/>
    </row>
    <row r="808">
      <c r="C808" s="10"/>
      <c r="F808" s="26"/>
      <c r="G808" s="373"/>
      <c r="H808" s="73"/>
    </row>
    <row r="809">
      <c r="C809" s="10"/>
      <c r="F809" s="26"/>
      <c r="G809" s="373"/>
      <c r="H809" s="73"/>
    </row>
    <row r="810">
      <c r="C810" s="10"/>
      <c r="F810" s="26"/>
      <c r="G810" s="373"/>
      <c r="H810" s="73"/>
    </row>
    <row r="811">
      <c r="C811" s="10"/>
      <c r="F811" s="26"/>
      <c r="G811" s="373"/>
      <c r="H811" s="73"/>
    </row>
    <row r="812">
      <c r="C812" s="10"/>
      <c r="F812" s="26"/>
      <c r="G812" s="373"/>
      <c r="H812" s="73"/>
    </row>
    <row r="813">
      <c r="C813" s="10"/>
      <c r="F813" s="26"/>
      <c r="G813" s="373"/>
      <c r="H813" s="73"/>
    </row>
    <row r="814">
      <c r="C814" s="10"/>
      <c r="F814" s="26"/>
      <c r="G814" s="373"/>
      <c r="H814" s="73"/>
    </row>
    <row r="815">
      <c r="C815" s="10"/>
      <c r="F815" s="26"/>
      <c r="G815" s="373"/>
      <c r="H815" s="73"/>
    </row>
    <row r="816">
      <c r="C816" s="10"/>
      <c r="F816" s="26"/>
      <c r="G816" s="373"/>
      <c r="H816" s="73"/>
    </row>
    <row r="817">
      <c r="C817" s="10"/>
      <c r="F817" s="26"/>
      <c r="G817" s="373"/>
      <c r="H817" s="73"/>
    </row>
    <row r="818">
      <c r="C818" s="10"/>
      <c r="F818" s="26"/>
      <c r="G818" s="373"/>
      <c r="H818" s="73"/>
    </row>
    <row r="819">
      <c r="C819" s="10"/>
      <c r="F819" s="26"/>
      <c r="G819" s="373"/>
      <c r="H819" s="73"/>
    </row>
    <row r="820">
      <c r="C820" s="10"/>
      <c r="F820" s="26"/>
      <c r="G820" s="373"/>
      <c r="H820" s="73"/>
    </row>
    <row r="821">
      <c r="C821" s="10"/>
      <c r="F821" s="26"/>
      <c r="G821" s="373"/>
      <c r="H821" s="73"/>
    </row>
    <row r="822">
      <c r="C822" s="10"/>
      <c r="F822" s="26"/>
      <c r="G822" s="373"/>
      <c r="H822" s="73"/>
    </row>
    <row r="823">
      <c r="C823" s="10"/>
      <c r="F823" s="26"/>
      <c r="G823" s="373"/>
      <c r="H823" s="73"/>
    </row>
    <row r="824">
      <c r="C824" s="10"/>
      <c r="F824" s="26"/>
      <c r="G824" s="373"/>
      <c r="H824" s="73"/>
    </row>
    <row r="825">
      <c r="C825" s="10"/>
      <c r="F825" s="26"/>
      <c r="G825" s="373"/>
      <c r="H825" s="73"/>
    </row>
    <row r="826">
      <c r="C826" s="10"/>
      <c r="F826" s="26"/>
      <c r="G826" s="373"/>
      <c r="H826" s="73"/>
    </row>
    <row r="827">
      <c r="C827" s="10"/>
      <c r="F827" s="26"/>
      <c r="G827" s="373"/>
      <c r="H827" s="73"/>
    </row>
    <row r="828">
      <c r="C828" s="10"/>
      <c r="F828" s="26"/>
      <c r="G828" s="373"/>
      <c r="H828" s="73"/>
    </row>
    <row r="829">
      <c r="C829" s="10"/>
      <c r="F829" s="26"/>
      <c r="G829" s="373"/>
      <c r="H829" s="73"/>
    </row>
    <row r="830">
      <c r="C830" s="10"/>
      <c r="F830" s="26"/>
      <c r="G830" s="373"/>
      <c r="H830" s="73"/>
    </row>
    <row r="831">
      <c r="C831" s="10"/>
      <c r="F831" s="26"/>
      <c r="G831" s="373"/>
      <c r="H831" s="73"/>
    </row>
    <row r="832">
      <c r="C832" s="10"/>
      <c r="F832" s="26"/>
      <c r="G832" s="373"/>
      <c r="H832" s="73"/>
    </row>
    <row r="833">
      <c r="C833" s="10"/>
      <c r="F833" s="26"/>
      <c r="G833" s="373"/>
      <c r="H833" s="73"/>
    </row>
    <row r="834">
      <c r="C834" s="10"/>
      <c r="F834" s="26"/>
      <c r="G834" s="373"/>
      <c r="H834" s="73"/>
    </row>
    <row r="835">
      <c r="C835" s="10"/>
      <c r="F835" s="26"/>
      <c r="G835" s="373"/>
      <c r="H835" s="73"/>
    </row>
    <row r="836">
      <c r="C836" s="10"/>
      <c r="F836" s="26"/>
      <c r="G836" s="373"/>
      <c r="H836" s="73"/>
    </row>
    <row r="837">
      <c r="C837" s="10"/>
      <c r="F837" s="26"/>
      <c r="G837" s="373"/>
      <c r="H837" s="73"/>
    </row>
    <row r="838">
      <c r="C838" s="10"/>
      <c r="F838" s="26"/>
      <c r="G838" s="373"/>
      <c r="H838" s="73"/>
    </row>
    <row r="839">
      <c r="C839" s="10"/>
      <c r="F839" s="26"/>
      <c r="G839" s="373"/>
      <c r="H839" s="73"/>
    </row>
    <row r="840">
      <c r="C840" s="10"/>
      <c r="F840" s="26"/>
      <c r="G840" s="373"/>
      <c r="H840" s="73"/>
    </row>
    <row r="841">
      <c r="C841" s="10"/>
      <c r="F841" s="26"/>
      <c r="G841" s="373"/>
      <c r="H841" s="73"/>
    </row>
    <row r="842">
      <c r="C842" s="10"/>
      <c r="F842" s="26"/>
      <c r="G842" s="373"/>
      <c r="H842" s="73"/>
    </row>
    <row r="843">
      <c r="C843" s="10"/>
      <c r="F843" s="26"/>
      <c r="G843" s="373"/>
      <c r="H843" s="73"/>
    </row>
    <row r="844">
      <c r="C844" s="10"/>
      <c r="F844" s="26"/>
      <c r="G844" s="373"/>
      <c r="H844" s="73"/>
    </row>
    <row r="845">
      <c r="C845" s="10"/>
      <c r="F845" s="26"/>
      <c r="G845" s="373"/>
      <c r="H845" s="73"/>
    </row>
    <row r="846">
      <c r="C846" s="10"/>
      <c r="F846" s="26"/>
      <c r="G846" s="373"/>
      <c r="H846" s="73"/>
    </row>
    <row r="847">
      <c r="C847" s="10"/>
      <c r="F847" s="26"/>
      <c r="G847" s="373"/>
      <c r="H847" s="73"/>
    </row>
    <row r="848">
      <c r="C848" s="10"/>
      <c r="F848" s="26"/>
      <c r="G848" s="373"/>
      <c r="H848" s="73"/>
    </row>
    <row r="849">
      <c r="C849" s="10"/>
      <c r="F849" s="26"/>
      <c r="G849" s="373"/>
      <c r="H849" s="73"/>
    </row>
    <row r="850">
      <c r="C850" s="10"/>
      <c r="F850" s="26"/>
      <c r="G850" s="373"/>
      <c r="H850" s="73"/>
    </row>
    <row r="851">
      <c r="C851" s="10"/>
      <c r="F851" s="26"/>
      <c r="G851" s="373"/>
      <c r="H851" s="73"/>
    </row>
    <row r="852">
      <c r="C852" s="10"/>
      <c r="F852" s="26"/>
      <c r="G852" s="373"/>
      <c r="H852" s="73"/>
    </row>
    <row r="853">
      <c r="C853" s="10"/>
      <c r="F853" s="26"/>
      <c r="G853" s="373"/>
      <c r="H853" s="73"/>
    </row>
    <row r="854">
      <c r="C854" s="10"/>
      <c r="F854" s="26"/>
      <c r="G854" s="373"/>
      <c r="H854" s="73"/>
    </row>
    <row r="855">
      <c r="C855" s="10"/>
      <c r="F855" s="26"/>
      <c r="G855" s="373"/>
      <c r="H855" s="73"/>
    </row>
    <row r="856">
      <c r="C856" s="10"/>
      <c r="F856" s="26"/>
      <c r="G856" s="373"/>
      <c r="H856" s="73"/>
    </row>
    <row r="857">
      <c r="C857" s="10"/>
      <c r="F857" s="26"/>
      <c r="G857" s="373"/>
      <c r="H857" s="73"/>
    </row>
    <row r="858">
      <c r="C858" s="10"/>
      <c r="F858" s="26"/>
      <c r="G858" s="373"/>
      <c r="H858" s="73"/>
    </row>
    <row r="859">
      <c r="C859" s="10"/>
      <c r="F859" s="26"/>
      <c r="G859" s="373"/>
      <c r="H859" s="73"/>
    </row>
    <row r="860">
      <c r="C860" s="10"/>
      <c r="F860" s="26"/>
      <c r="G860" s="373"/>
      <c r="H860" s="73"/>
    </row>
    <row r="861">
      <c r="C861" s="10"/>
      <c r="F861" s="26"/>
      <c r="G861" s="373"/>
      <c r="H861" s="73"/>
    </row>
    <row r="862">
      <c r="C862" s="10"/>
      <c r="F862" s="26"/>
      <c r="G862" s="373"/>
      <c r="H862" s="73"/>
    </row>
    <row r="863">
      <c r="C863" s="10"/>
      <c r="F863" s="26"/>
      <c r="G863" s="373"/>
      <c r="H863" s="73"/>
    </row>
    <row r="864">
      <c r="C864" s="10"/>
      <c r="F864" s="26"/>
      <c r="G864" s="373"/>
      <c r="H864" s="73"/>
    </row>
    <row r="865">
      <c r="C865" s="10"/>
      <c r="F865" s="26"/>
      <c r="G865" s="373"/>
      <c r="H865" s="73"/>
    </row>
    <row r="866">
      <c r="C866" s="10"/>
      <c r="F866" s="26"/>
      <c r="G866" s="373"/>
      <c r="H866" s="73"/>
    </row>
    <row r="867">
      <c r="C867" s="10"/>
      <c r="F867" s="26"/>
      <c r="G867" s="373"/>
      <c r="H867" s="73"/>
    </row>
    <row r="868">
      <c r="C868" s="10"/>
      <c r="F868" s="26"/>
      <c r="G868" s="373"/>
      <c r="H868" s="73"/>
    </row>
    <row r="869">
      <c r="C869" s="10"/>
      <c r="F869" s="26"/>
      <c r="G869" s="373"/>
      <c r="H869" s="73"/>
    </row>
    <row r="870">
      <c r="C870" s="10"/>
      <c r="F870" s="26"/>
      <c r="G870" s="373"/>
      <c r="H870" s="73"/>
    </row>
    <row r="871">
      <c r="C871" s="10"/>
      <c r="F871" s="26"/>
      <c r="G871" s="373"/>
      <c r="H871" s="73"/>
    </row>
    <row r="872">
      <c r="C872" s="10"/>
      <c r="F872" s="26"/>
      <c r="G872" s="373"/>
      <c r="H872" s="73"/>
    </row>
    <row r="873">
      <c r="C873" s="10"/>
      <c r="F873" s="26"/>
      <c r="G873" s="373"/>
      <c r="H873" s="73"/>
    </row>
    <row r="874">
      <c r="C874" s="10"/>
      <c r="F874" s="26"/>
      <c r="G874" s="373"/>
      <c r="H874" s="73"/>
    </row>
    <row r="875">
      <c r="C875" s="10"/>
      <c r="F875" s="26"/>
      <c r="G875" s="373"/>
      <c r="H875" s="73"/>
    </row>
    <row r="876">
      <c r="C876" s="10"/>
      <c r="F876" s="26"/>
      <c r="G876" s="373"/>
      <c r="H876" s="73"/>
    </row>
    <row r="877">
      <c r="C877" s="10"/>
      <c r="F877" s="26"/>
      <c r="G877" s="373"/>
      <c r="H877" s="73"/>
    </row>
    <row r="878">
      <c r="C878" s="10"/>
      <c r="F878" s="26"/>
      <c r="G878" s="373"/>
      <c r="H878" s="73"/>
    </row>
    <row r="879">
      <c r="C879" s="10"/>
      <c r="F879" s="26"/>
      <c r="G879" s="373"/>
      <c r="H879" s="73"/>
    </row>
    <row r="880">
      <c r="C880" s="10"/>
      <c r="F880" s="26"/>
      <c r="G880" s="373"/>
      <c r="H880" s="73"/>
    </row>
    <row r="881">
      <c r="C881" s="10"/>
      <c r="F881" s="26"/>
      <c r="G881" s="373"/>
      <c r="H881" s="73"/>
    </row>
    <row r="882">
      <c r="C882" s="10"/>
      <c r="F882" s="26"/>
      <c r="G882" s="373"/>
      <c r="H882" s="73"/>
    </row>
    <row r="883">
      <c r="C883" s="10"/>
      <c r="F883" s="26"/>
      <c r="G883" s="373"/>
      <c r="H883" s="73"/>
    </row>
    <row r="884">
      <c r="C884" s="10"/>
      <c r="F884" s="26"/>
      <c r="G884" s="373"/>
      <c r="H884" s="73"/>
    </row>
    <row r="885">
      <c r="C885" s="10"/>
      <c r="F885" s="26"/>
      <c r="G885" s="373"/>
      <c r="H885" s="73"/>
    </row>
    <row r="886">
      <c r="C886" s="10"/>
      <c r="F886" s="26"/>
      <c r="G886" s="373"/>
      <c r="H886" s="73"/>
    </row>
    <row r="887">
      <c r="C887" s="10"/>
      <c r="F887" s="26"/>
      <c r="G887" s="373"/>
      <c r="H887" s="73"/>
    </row>
    <row r="888">
      <c r="C888" s="10"/>
      <c r="F888" s="26"/>
      <c r="G888" s="373"/>
      <c r="H888" s="73"/>
    </row>
    <row r="889">
      <c r="C889" s="10"/>
      <c r="F889" s="26"/>
      <c r="G889" s="373"/>
      <c r="H889" s="73"/>
    </row>
    <row r="890">
      <c r="C890" s="10"/>
      <c r="F890" s="26"/>
      <c r="G890" s="373"/>
      <c r="H890" s="73"/>
    </row>
    <row r="891">
      <c r="C891" s="10"/>
      <c r="F891" s="26"/>
      <c r="G891" s="373"/>
      <c r="H891" s="73"/>
    </row>
    <row r="892">
      <c r="C892" s="10"/>
      <c r="F892" s="26"/>
      <c r="G892" s="373"/>
      <c r="H892" s="73"/>
    </row>
    <row r="893">
      <c r="C893" s="10"/>
      <c r="F893" s="26"/>
      <c r="G893" s="373"/>
      <c r="H893" s="73"/>
    </row>
    <row r="894">
      <c r="C894" s="10"/>
      <c r="F894" s="26"/>
      <c r="G894" s="373"/>
      <c r="H894" s="73"/>
    </row>
    <row r="895">
      <c r="C895" s="10"/>
      <c r="F895" s="26"/>
      <c r="G895" s="373"/>
      <c r="H895" s="73"/>
    </row>
    <row r="896">
      <c r="C896" s="10"/>
      <c r="F896" s="26"/>
      <c r="G896" s="373"/>
      <c r="H896" s="73"/>
    </row>
    <row r="897">
      <c r="C897" s="10"/>
      <c r="F897" s="26"/>
      <c r="G897" s="373"/>
      <c r="H897" s="73"/>
    </row>
    <row r="898">
      <c r="C898" s="10"/>
      <c r="F898" s="26"/>
      <c r="G898" s="373"/>
      <c r="H898" s="73"/>
    </row>
    <row r="899">
      <c r="C899" s="10"/>
      <c r="F899" s="26"/>
      <c r="G899" s="373"/>
      <c r="H899" s="73"/>
    </row>
    <row r="900">
      <c r="C900" s="10"/>
      <c r="F900" s="26"/>
      <c r="G900" s="373"/>
      <c r="H900" s="73"/>
    </row>
    <row r="901">
      <c r="C901" s="10"/>
      <c r="F901" s="26"/>
      <c r="G901" s="373"/>
      <c r="H901" s="73"/>
    </row>
    <row r="902">
      <c r="C902" s="10"/>
      <c r="F902" s="26"/>
      <c r="G902" s="373"/>
      <c r="H902" s="73"/>
    </row>
    <row r="903">
      <c r="C903" s="10"/>
      <c r="F903" s="26"/>
      <c r="G903" s="373"/>
      <c r="H903" s="73"/>
    </row>
    <row r="904">
      <c r="C904" s="10"/>
      <c r="F904" s="26"/>
      <c r="G904" s="373"/>
      <c r="H904" s="73"/>
    </row>
    <row r="905">
      <c r="C905" s="10"/>
      <c r="F905" s="26"/>
      <c r="G905" s="373"/>
      <c r="H905" s="73"/>
    </row>
    <row r="906">
      <c r="C906" s="10"/>
      <c r="F906" s="26"/>
      <c r="G906" s="373"/>
      <c r="H906" s="73"/>
    </row>
    <row r="907">
      <c r="C907" s="10"/>
      <c r="F907" s="26"/>
      <c r="G907" s="373"/>
      <c r="H907" s="73"/>
    </row>
    <row r="908">
      <c r="C908" s="10"/>
      <c r="F908" s="26"/>
      <c r="G908" s="373"/>
      <c r="H908" s="73"/>
    </row>
    <row r="909">
      <c r="C909" s="10"/>
      <c r="F909" s="26"/>
      <c r="G909" s="373"/>
      <c r="H909" s="73"/>
    </row>
    <row r="910">
      <c r="C910" s="10"/>
      <c r="F910" s="26"/>
      <c r="G910" s="373"/>
      <c r="H910" s="73"/>
    </row>
    <row r="911">
      <c r="C911" s="10"/>
      <c r="F911" s="26"/>
      <c r="G911" s="373"/>
      <c r="H911" s="73"/>
    </row>
    <row r="912">
      <c r="C912" s="10"/>
      <c r="F912" s="26"/>
      <c r="G912" s="373"/>
      <c r="H912" s="73"/>
    </row>
    <row r="913">
      <c r="C913" s="10"/>
      <c r="F913" s="26"/>
      <c r="G913" s="373"/>
      <c r="H913" s="73"/>
    </row>
    <row r="914">
      <c r="C914" s="10"/>
      <c r="F914" s="26"/>
      <c r="G914" s="373"/>
      <c r="H914" s="73"/>
    </row>
    <row r="915">
      <c r="C915" s="10"/>
      <c r="F915" s="26"/>
      <c r="G915" s="373"/>
      <c r="H915" s="73"/>
    </row>
    <row r="916">
      <c r="C916" s="10"/>
      <c r="F916" s="26"/>
      <c r="G916" s="373"/>
      <c r="H916" s="73"/>
    </row>
    <row r="917">
      <c r="C917" s="10"/>
      <c r="F917" s="26"/>
      <c r="G917" s="373"/>
      <c r="H917" s="73"/>
    </row>
    <row r="918">
      <c r="C918" s="10"/>
      <c r="F918" s="26"/>
      <c r="G918" s="373"/>
      <c r="H918" s="73"/>
    </row>
    <row r="919">
      <c r="C919" s="10"/>
      <c r="F919" s="26"/>
      <c r="G919" s="373"/>
      <c r="H919" s="73"/>
    </row>
    <row r="920">
      <c r="C920" s="10"/>
      <c r="F920" s="26"/>
      <c r="G920" s="373"/>
      <c r="H920" s="73"/>
    </row>
    <row r="921">
      <c r="C921" s="10"/>
      <c r="F921" s="26"/>
      <c r="G921" s="373"/>
      <c r="H921" s="73"/>
    </row>
    <row r="922">
      <c r="C922" s="10"/>
      <c r="F922" s="26"/>
      <c r="G922" s="373"/>
      <c r="H922" s="73"/>
    </row>
    <row r="923">
      <c r="C923" s="10"/>
      <c r="F923" s="26"/>
      <c r="G923" s="373"/>
      <c r="H923" s="73"/>
    </row>
    <row r="924">
      <c r="C924" s="10"/>
      <c r="F924" s="26"/>
      <c r="G924" s="373"/>
      <c r="H924" s="73"/>
    </row>
    <row r="925">
      <c r="C925" s="10"/>
      <c r="F925" s="26"/>
      <c r="G925" s="373"/>
      <c r="H925" s="73"/>
    </row>
    <row r="926">
      <c r="C926" s="10"/>
      <c r="F926" s="26"/>
      <c r="G926" s="373"/>
      <c r="H926" s="73"/>
    </row>
    <row r="927">
      <c r="C927" s="10"/>
      <c r="F927" s="26"/>
      <c r="G927" s="373"/>
      <c r="H927" s="73"/>
    </row>
    <row r="928">
      <c r="C928" s="10"/>
      <c r="F928" s="26"/>
      <c r="G928" s="373"/>
      <c r="H928" s="73"/>
    </row>
    <row r="929">
      <c r="C929" s="10"/>
      <c r="F929" s="26"/>
      <c r="G929" s="373"/>
      <c r="H929" s="73"/>
    </row>
    <row r="930">
      <c r="C930" s="10"/>
      <c r="F930" s="26"/>
      <c r="G930" s="373"/>
      <c r="H930" s="73"/>
    </row>
    <row r="931">
      <c r="C931" s="10"/>
      <c r="F931" s="26"/>
      <c r="G931" s="373"/>
      <c r="H931" s="73"/>
    </row>
    <row r="932">
      <c r="C932" s="10"/>
      <c r="F932" s="26"/>
      <c r="G932" s="373"/>
      <c r="H932" s="73"/>
    </row>
    <row r="933">
      <c r="C933" s="10"/>
      <c r="F933" s="26"/>
      <c r="G933" s="373"/>
      <c r="H933" s="73"/>
    </row>
    <row r="934">
      <c r="C934" s="10"/>
      <c r="F934" s="26"/>
      <c r="G934" s="373"/>
      <c r="H934" s="73"/>
    </row>
    <row r="935">
      <c r="C935" s="10"/>
      <c r="F935" s="26"/>
      <c r="G935" s="373"/>
      <c r="H935" s="73"/>
    </row>
    <row r="936">
      <c r="C936" s="10"/>
      <c r="F936" s="26"/>
      <c r="G936" s="373"/>
      <c r="H936" s="73"/>
    </row>
    <row r="937">
      <c r="C937" s="10"/>
      <c r="F937" s="26"/>
      <c r="G937" s="373"/>
      <c r="H937" s="73"/>
    </row>
    <row r="938">
      <c r="C938" s="10"/>
      <c r="F938" s="26"/>
      <c r="G938" s="373"/>
      <c r="H938" s="73"/>
    </row>
    <row r="939">
      <c r="C939" s="10"/>
      <c r="F939" s="26"/>
      <c r="G939" s="373"/>
      <c r="H939" s="73"/>
    </row>
    <row r="940">
      <c r="C940" s="10"/>
      <c r="F940" s="26"/>
      <c r="G940" s="373"/>
      <c r="H940" s="73"/>
    </row>
    <row r="941">
      <c r="C941" s="10"/>
      <c r="F941" s="26"/>
      <c r="G941" s="373"/>
      <c r="H941" s="73"/>
    </row>
    <row r="942">
      <c r="C942" s="10"/>
      <c r="F942" s="26"/>
      <c r="G942" s="373"/>
      <c r="H942" s="73"/>
    </row>
    <row r="943">
      <c r="C943" s="10"/>
      <c r="F943" s="26"/>
      <c r="G943" s="373"/>
      <c r="H943" s="73"/>
    </row>
    <row r="944">
      <c r="C944" s="10"/>
      <c r="F944" s="26"/>
      <c r="G944" s="373"/>
      <c r="H944" s="73"/>
    </row>
    <row r="945">
      <c r="C945" s="10"/>
      <c r="F945" s="26"/>
      <c r="G945" s="373"/>
      <c r="H945" s="73"/>
    </row>
    <row r="946">
      <c r="C946" s="10"/>
      <c r="F946" s="26"/>
      <c r="G946" s="373"/>
      <c r="H946" s="73"/>
    </row>
    <row r="947">
      <c r="C947" s="10"/>
      <c r="F947" s="26"/>
      <c r="G947" s="373"/>
      <c r="H947" s="73"/>
    </row>
    <row r="948">
      <c r="C948" s="10"/>
      <c r="F948" s="26"/>
      <c r="G948" s="373"/>
      <c r="H948" s="73"/>
    </row>
    <row r="949">
      <c r="C949" s="10"/>
      <c r="F949" s="26"/>
      <c r="G949" s="373"/>
      <c r="H949" s="73"/>
    </row>
    <row r="950">
      <c r="C950" s="10"/>
      <c r="F950" s="26"/>
      <c r="G950" s="373"/>
      <c r="H950" s="73"/>
    </row>
    <row r="951">
      <c r="C951" s="10"/>
      <c r="F951" s="26"/>
      <c r="G951" s="373"/>
      <c r="H951" s="73"/>
    </row>
    <row r="952">
      <c r="C952" s="10"/>
      <c r="F952" s="26"/>
      <c r="G952" s="373"/>
      <c r="H952" s="73"/>
    </row>
    <row r="953">
      <c r="C953" s="10"/>
      <c r="F953" s="26"/>
      <c r="G953" s="373"/>
      <c r="H953" s="73"/>
    </row>
    <row r="954">
      <c r="C954" s="10"/>
      <c r="F954" s="26"/>
      <c r="G954" s="373"/>
      <c r="H954" s="73"/>
    </row>
    <row r="955">
      <c r="C955" s="10"/>
      <c r="F955" s="26"/>
      <c r="G955" s="373"/>
      <c r="H955" s="73"/>
    </row>
    <row r="956">
      <c r="C956" s="10"/>
      <c r="F956" s="26"/>
      <c r="G956" s="373"/>
      <c r="H956" s="73"/>
    </row>
    <row r="957">
      <c r="C957" s="10"/>
      <c r="F957" s="26"/>
      <c r="G957" s="373"/>
      <c r="H957" s="73"/>
    </row>
    <row r="958">
      <c r="C958" s="10"/>
      <c r="F958" s="26"/>
      <c r="G958" s="373"/>
      <c r="H958" s="73"/>
    </row>
    <row r="959">
      <c r="C959" s="10"/>
      <c r="F959" s="26"/>
      <c r="G959" s="373"/>
      <c r="H959" s="73"/>
    </row>
    <row r="960">
      <c r="C960" s="10"/>
      <c r="F960" s="26"/>
      <c r="G960" s="373"/>
      <c r="H960" s="73"/>
    </row>
    <row r="961">
      <c r="C961" s="10"/>
      <c r="F961" s="26"/>
      <c r="G961" s="373"/>
      <c r="H961" s="73"/>
    </row>
    <row r="962">
      <c r="C962" s="10"/>
      <c r="F962" s="26"/>
      <c r="G962" s="373"/>
      <c r="H962" s="73"/>
    </row>
    <row r="963">
      <c r="C963" s="10"/>
      <c r="F963" s="26"/>
      <c r="G963" s="373"/>
      <c r="H963" s="73"/>
    </row>
    <row r="964">
      <c r="C964" s="10"/>
      <c r="F964" s="26"/>
      <c r="G964" s="373"/>
      <c r="H964" s="73"/>
    </row>
    <row r="965">
      <c r="C965" s="10"/>
      <c r="F965" s="26"/>
      <c r="G965" s="373"/>
      <c r="H965" s="73"/>
    </row>
    <row r="966">
      <c r="C966" s="10"/>
      <c r="F966" s="26"/>
      <c r="G966" s="373"/>
      <c r="H966" s="73"/>
    </row>
    <row r="967">
      <c r="C967" s="10"/>
      <c r="F967" s="26"/>
      <c r="G967" s="373"/>
      <c r="H967" s="73"/>
    </row>
    <row r="968">
      <c r="C968" s="10"/>
      <c r="F968" s="26"/>
      <c r="G968" s="373"/>
      <c r="H968" s="73"/>
    </row>
    <row r="969">
      <c r="C969" s="10"/>
      <c r="F969" s="26"/>
      <c r="G969" s="373"/>
      <c r="H969" s="73"/>
    </row>
    <row r="970">
      <c r="C970" s="10"/>
      <c r="F970" s="26"/>
      <c r="G970" s="373"/>
      <c r="H970" s="73"/>
    </row>
    <row r="971">
      <c r="C971" s="10"/>
      <c r="F971" s="26"/>
      <c r="G971" s="373"/>
      <c r="H971" s="73"/>
    </row>
    <row r="972">
      <c r="C972" s="10"/>
      <c r="F972" s="26"/>
      <c r="G972" s="373"/>
      <c r="H972" s="73"/>
    </row>
    <row r="973">
      <c r="C973" s="10"/>
      <c r="F973" s="26"/>
      <c r="G973" s="373"/>
      <c r="H973" s="73"/>
    </row>
    <row r="974">
      <c r="C974" s="10"/>
      <c r="F974" s="26"/>
      <c r="G974" s="373"/>
      <c r="H974" s="73"/>
    </row>
    <row r="975">
      <c r="C975" s="10"/>
      <c r="F975" s="26"/>
      <c r="G975" s="373"/>
      <c r="H975" s="73"/>
    </row>
    <row r="976">
      <c r="C976" s="10"/>
      <c r="F976" s="26"/>
      <c r="G976" s="373"/>
      <c r="H976" s="73"/>
    </row>
    <row r="977">
      <c r="C977" s="10"/>
      <c r="F977" s="26"/>
      <c r="G977" s="373"/>
      <c r="H977" s="73"/>
    </row>
    <row r="978">
      <c r="C978" s="10"/>
      <c r="F978" s="26"/>
      <c r="G978" s="373"/>
      <c r="H978" s="73"/>
    </row>
    <row r="979">
      <c r="C979" s="10"/>
      <c r="F979" s="26"/>
      <c r="G979" s="373"/>
      <c r="H979" s="73"/>
    </row>
    <row r="980">
      <c r="C980" s="10"/>
      <c r="F980" s="26"/>
      <c r="G980" s="373"/>
      <c r="H980" s="73"/>
    </row>
    <row r="981">
      <c r="C981" s="10"/>
      <c r="F981" s="26"/>
      <c r="G981" s="373"/>
      <c r="H981" s="73"/>
    </row>
    <row r="982">
      <c r="C982" s="10"/>
      <c r="F982" s="26"/>
      <c r="G982" s="373"/>
      <c r="H982" s="73"/>
    </row>
    <row r="983">
      <c r="C983" s="10"/>
      <c r="F983" s="26"/>
      <c r="G983" s="373"/>
      <c r="H983" s="73"/>
    </row>
    <row r="984">
      <c r="C984" s="10"/>
      <c r="F984" s="26"/>
      <c r="G984" s="373"/>
      <c r="H984" s="73"/>
    </row>
    <row r="985">
      <c r="C985" s="10"/>
      <c r="F985" s="26"/>
      <c r="G985" s="373"/>
      <c r="H985" s="73"/>
    </row>
    <row r="986">
      <c r="C986" s="10"/>
      <c r="F986" s="26"/>
      <c r="G986" s="373"/>
      <c r="H986" s="73"/>
    </row>
    <row r="987">
      <c r="C987" s="10"/>
      <c r="F987" s="26"/>
      <c r="G987" s="373"/>
      <c r="H987" s="73"/>
    </row>
    <row r="988">
      <c r="C988" s="10"/>
      <c r="F988" s="26"/>
      <c r="G988" s="373"/>
      <c r="H988" s="73"/>
    </row>
    <row r="989">
      <c r="C989" s="10"/>
      <c r="F989" s="26"/>
      <c r="G989" s="373"/>
      <c r="H989" s="73"/>
    </row>
    <row r="990">
      <c r="C990" s="10"/>
      <c r="F990" s="26"/>
      <c r="G990" s="373"/>
      <c r="H990" s="73"/>
    </row>
    <row r="991">
      <c r="C991" s="10"/>
      <c r="F991" s="26"/>
      <c r="G991" s="373"/>
      <c r="H991" s="73"/>
    </row>
    <row r="992">
      <c r="C992" s="10"/>
      <c r="F992" s="26"/>
      <c r="G992" s="373"/>
      <c r="H992" s="73"/>
    </row>
    <row r="993">
      <c r="C993" s="10"/>
      <c r="F993" s="26"/>
      <c r="G993" s="373"/>
      <c r="H993" s="73"/>
    </row>
    <row r="994">
      <c r="C994" s="10"/>
      <c r="F994" s="26"/>
      <c r="G994" s="373"/>
      <c r="H994" s="73"/>
    </row>
    <row r="995">
      <c r="C995" s="10"/>
      <c r="F995" s="26"/>
      <c r="G995" s="373"/>
      <c r="H995" s="73"/>
    </row>
    <row r="996">
      <c r="C996" s="10"/>
      <c r="F996" s="26"/>
      <c r="G996" s="373"/>
      <c r="H996" s="73"/>
    </row>
    <row r="997">
      <c r="C997" s="10"/>
      <c r="F997" s="26"/>
      <c r="G997" s="373"/>
      <c r="H997" s="73"/>
    </row>
    <row r="998">
      <c r="C998" s="10"/>
      <c r="F998" s="26"/>
      <c r="G998" s="373"/>
      <c r="H998" s="73"/>
    </row>
    <row r="999">
      <c r="C999" s="10"/>
      <c r="F999" s="26"/>
      <c r="G999" s="373"/>
      <c r="H999" s="73"/>
    </row>
    <row r="1000">
      <c r="C1000" s="10"/>
      <c r="F1000" s="26"/>
      <c r="G1000" s="373"/>
      <c r="H1000" s="73"/>
    </row>
    <row r="1001">
      <c r="C1001" s="10"/>
      <c r="F1001" s="26"/>
      <c r="G1001" s="373"/>
      <c r="H1001" s="73"/>
    </row>
    <row r="1002">
      <c r="C1002" s="10"/>
      <c r="F1002" s="26"/>
      <c r="G1002" s="373"/>
      <c r="H1002" s="73"/>
    </row>
  </sheetData>
  <mergeCells count="1">
    <mergeCell ref="J2:K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23.75"/>
    <col customWidth="1" min="2" max="2" width="18.88"/>
    <col customWidth="1" min="3" max="7" width="10.13"/>
  </cols>
  <sheetData>
    <row r="1">
      <c r="A1" s="374" t="s">
        <v>329</v>
      </c>
      <c r="C1" s="40"/>
      <c r="D1" s="375" t="s">
        <v>356</v>
      </c>
      <c r="E1" s="30"/>
      <c r="F1" s="31"/>
      <c r="G1" s="109"/>
      <c r="H1" s="109"/>
      <c r="I1" s="109"/>
      <c r="J1" s="109"/>
    </row>
    <row r="2">
      <c r="A2" s="89" t="s">
        <v>114</v>
      </c>
      <c r="B2" s="89" t="s">
        <v>115</v>
      </c>
      <c r="C2" s="40"/>
      <c r="D2" s="376" t="s">
        <v>42</v>
      </c>
      <c r="E2" s="377" t="s">
        <v>357</v>
      </c>
      <c r="F2" s="226"/>
      <c r="G2" s="378" t="s">
        <v>358</v>
      </c>
      <c r="H2" s="226"/>
      <c r="I2" s="109"/>
      <c r="J2" s="109"/>
    </row>
    <row r="3">
      <c r="A3" s="13" t="s">
        <v>359</v>
      </c>
      <c r="B3" s="191">
        <v>0.12</v>
      </c>
      <c r="C3" s="40"/>
      <c r="D3" s="379" t="s">
        <v>360</v>
      </c>
      <c r="E3" s="380" t="s">
        <v>361</v>
      </c>
      <c r="F3" s="381">
        <v>0.0</v>
      </c>
      <c r="G3" s="382">
        <v>500.0</v>
      </c>
      <c r="H3" s="191">
        <f t="shared" ref="H3:H6" si="1">F3/G3</f>
        <v>0</v>
      </c>
      <c r="I3" s="109"/>
      <c r="J3" s="109"/>
    </row>
    <row r="4">
      <c r="A4" s="13"/>
      <c r="B4" s="191"/>
      <c r="C4" s="40"/>
      <c r="D4" s="57"/>
      <c r="E4" s="380" t="s">
        <v>362</v>
      </c>
      <c r="F4" s="381">
        <v>44.5</v>
      </c>
      <c r="G4" s="382">
        <v>1000.0</v>
      </c>
      <c r="H4" s="191">
        <f t="shared" si="1"/>
        <v>0.0445</v>
      </c>
      <c r="I4" s="109"/>
      <c r="J4" s="109"/>
    </row>
    <row r="5">
      <c r="C5" s="40"/>
      <c r="D5" s="379" t="s">
        <v>363</v>
      </c>
      <c r="E5" s="380" t="s">
        <v>361</v>
      </c>
      <c r="F5" s="381">
        <v>0.0</v>
      </c>
      <c r="G5" s="382">
        <v>500.0</v>
      </c>
      <c r="H5" s="191">
        <f t="shared" si="1"/>
        <v>0</v>
      </c>
      <c r="I5" s="109"/>
      <c r="J5" s="109"/>
    </row>
    <row r="6">
      <c r="C6" s="40"/>
      <c r="D6" s="57"/>
      <c r="E6" s="380" t="s">
        <v>362</v>
      </c>
      <c r="F6" s="381">
        <v>61.97</v>
      </c>
      <c r="G6" s="382">
        <v>500.0</v>
      </c>
      <c r="H6" s="191">
        <f t="shared" si="1"/>
        <v>0.12394</v>
      </c>
      <c r="I6" s="109"/>
      <c r="J6" s="109"/>
    </row>
    <row r="7">
      <c r="D7" s="109"/>
      <c r="E7" s="109"/>
      <c r="F7" s="109"/>
      <c r="G7" s="109"/>
      <c r="H7" s="109"/>
      <c r="I7" s="109"/>
      <c r="J7" s="109"/>
    </row>
    <row r="8">
      <c r="D8" s="109"/>
      <c r="E8" s="109"/>
      <c r="F8" s="109"/>
      <c r="G8" s="109"/>
      <c r="H8" s="109"/>
      <c r="I8" s="109"/>
      <c r="J8" s="109"/>
    </row>
    <row r="9">
      <c r="D9" s="185"/>
      <c r="E9" s="5"/>
      <c r="F9" s="186"/>
      <c r="G9" s="27"/>
      <c r="I9" s="5"/>
      <c r="J9" s="186"/>
    </row>
    <row r="10">
      <c r="A10" s="85" t="s">
        <v>127</v>
      </c>
      <c r="B10" s="30"/>
      <c r="C10" s="30"/>
      <c r="D10" s="30"/>
      <c r="E10" s="30"/>
      <c r="F10" s="30"/>
      <c r="G10" s="31"/>
      <c r="H10" s="110"/>
      <c r="I10" s="110"/>
      <c r="J10" s="110"/>
      <c r="K10" s="106"/>
    </row>
    <row r="11">
      <c r="A11" s="1" t="s">
        <v>95</v>
      </c>
      <c r="B11" s="1" t="s">
        <v>96</v>
      </c>
      <c r="C11" s="118" t="s">
        <v>98</v>
      </c>
      <c r="D11" s="191" t="s">
        <v>130</v>
      </c>
      <c r="E11" s="2" t="s">
        <v>99</v>
      </c>
      <c r="F11" s="202" t="s">
        <v>131</v>
      </c>
      <c r="G11" s="120" t="s">
        <v>132</v>
      </c>
      <c r="H11" s="120" t="s">
        <v>133</v>
      </c>
      <c r="I11" s="203" t="s">
        <v>134</v>
      </c>
      <c r="J11" s="195" t="s">
        <v>135</v>
      </c>
      <c r="K11" s="1" t="s">
        <v>103</v>
      </c>
    </row>
    <row r="12" ht="22.5" customHeight="1">
      <c r="A12" s="123" t="s">
        <v>364</v>
      </c>
      <c r="B12" s="123" t="s">
        <v>365</v>
      </c>
      <c r="C12" s="124">
        <v>50.0</v>
      </c>
      <c r="D12" s="243">
        <v>0.12</v>
      </c>
      <c r="E12" s="244">
        <f t="shared" ref="E12:E21" si="2">C12*D12</f>
        <v>6</v>
      </c>
      <c r="F12" s="245">
        <v>0.05</v>
      </c>
      <c r="G12" s="127">
        <f t="shared" ref="G12:G21" si="3">C12*F12</f>
        <v>2.5</v>
      </c>
      <c r="H12" s="127">
        <f t="shared" ref="H12:H21" si="4">G12+E12</f>
        <v>8.5</v>
      </c>
      <c r="I12" s="246">
        <v>3.0</v>
      </c>
      <c r="J12" s="127">
        <f t="shared" ref="J12:J21" si="5">SUM(H12*I12)+H12</f>
        <v>34</v>
      </c>
      <c r="K12" s="128">
        <f t="shared" ref="K12:K21" si="6">SUM(J12/C12)</f>
        <v>0.68</v>
      </c>
    </row>
    <row r="13" ht="22.5" customHeight="1">
      <c r="A13" s="123" t="s">
        <v>364</v>
      </c>
      <c r="B13" s="123" t="s">
        <v>365</v>
      </c>
      <c r="C13" s="124">
        <v>500.0</v>
      </c>
      <c r="D13" s="243">
        <v>0.12</v>
      </c>
      <c r="E13" s="244">
        <f t="shared" si="2"/>
        <v>60</v>
      </c>
      <c r="F13" s="245">
        <v>0.03</v>
      </c>
      <c r="G13" s="127">
        <f t="shared" si="3"/>
        <v>15</v>
      </c>
      <c r="H13" s="127">
        <f t="shared" si="4"/>
        <v>75</v>
      </c>
      <c r="I13" s="246">
        <v>3.0</v>
      </c>
      <c r="J13" s="127">
        <f t="shared" si="5"/>
        <v>300</v>
      </c>
      <c r="K13" s="128">
        <f t="shared" si="6"/>
        <v>0.6</v>
      </c>
    </row>
    <row r="14" ht="22.5" customHeight="1">
      <c r="A14" s="123" t="s">
        <v>364</v>
      </c>
      <c r="B14" s="123" t="s">
        <v>365</v>
      </c>
      <c r="C14" s="124">
        <v>1000.0</v>
      </c>
      <c r="D14" s="243">
        <v>0.12</v>
      </c>
      <c r="E14" s="244">
        <f t="shared" si="2"/>
        <v>120</v>
      </c>
      <c r="F14" s="245">
        <v>0.03</v>
      </c>
      <c r="G14" s="127">
        <f t="shared" si="3"/>
        <v>30</v>
      </c>
      <c r="H14" s="127">
        <f t="shared" si="4"/>
        <v>150</v>
      </c>
      <c r="I14" s="246">
        <v>3.0</v>
      </c>
      <c r="J14" s="127">
        <f t="shared" si="5"/>
        <v>600</v>
      </c>
      <c r="K14" s="128">
        <f t="shared" si="6"/>
        <v>0.6</v>
      </c>
    </row>
    <row r="15" ht="22.5" customHeight="1">
      <c r="A15" s="123" t="s">
        <v>366</v>
      </c>
      <c r="B15" s="123" t="s">
        <v>365</v>
      </c>
      <c r="C15" s="124">
        <v>250.0</v>
      </c>
      <c r="D15" s="243">
        <v>0.12</v>
      </c>
      <c r="E15" s="244">
        <f t="shared" si="2"/>
        <v>30</v>
      </c>
      <c r="F15" s="245">
        <v>0.03</v>
      </c>
      <c r="G15" s="127">
        <f t="shared" si="3"/>
        <v>7.5</v>
      </c>
      <c r="H15" s="127">
        <f t="shared" si="4"/>
        <v>37.5</v>
      </c>
      <c r="I15" s="246">
        <v>3.0</v>
      </c>
      <c r="J15" s="127">
        <f t="shared" si="5"/>
        <v>150</v>
      </c>
      <c r="K15" s="128">
        <f t="shared" si="6"/>
        <v>0.6</v>
      </c>
    </row>
    <row r="16" ht="22.5" customHeight="1">
      <c r="A16" s="123" t="s">
        <v>205</v>
      </c>
      <c r="B16" s="123" t="s">
        <v>365</v>
      </c>
      <c r="C16" s="124">
        <v>200.0</v>
      </c>
      <c r="D16" s="243">
        <v>0.12</v>
      </c>
      <c r="E16" s="244">
        <f t="shared" si="2"/>
        <v>24</v>
      </c>
      <c r="F16" s="245">
        <v>0.03</v>
      </c>
      <c r="G16" s="127">
        <f t="shared" si="3"/>
        <v>6</v>
      </c>
      <c r="H16" s="127">
        <f t="shared" si="4"/>
        <v>30</v>
      </c>
      <c r="I16" s="246">
        <v>0.2</v>
      </c>
      <c r="J16" s="127">
        <f t="shared" si="5"/>
        <v>36</v>
      </c>
      <c r="K16" s="128">
        <f t="shared" si="6"/>
        <v>0.18</v>
      </c>
    </row>
    <row r="17" ht="22.5" customHeight="1">
      <c r="A17" s="123" t="s">
        <v>205</v>
      </c>
      <c r="B17" s="123" t="s">
        <v>365</v>
      </c>
      <c r="C17" s="124">
        <v>500.0</v>
      </c>
      <c r="D17" s="243">
        <v>0.12</v>
      </c>
      <c r="E17" s="244">
        <f t="shared" si="2"/>
        <v>60</v>
      </c>
      <c r="F17" s="245">
        <v>0.03</v>
      </c>
      <c r="G17" s="127">
        <f t="shared" si="3"/>
        <v>15</v>
      </c>
      <c r="H17" s="127">
        <f t="shared" si="4"/>
        <v>75</v>
      </c>
      <c r="I17" s="246">
        <v>0.2</v>
      </c>
      <c r="J17" s="127">
        <f t="shared" si="5"/>
        <v>90</v>
      </c>
      <c r="K17" s="128">
        <f t="shared" si="6"/>
        <v>0.18</v>
      </c>
      <c r="L17" s="27">
        <f t="shared" ref="L17:L18" si="7">J17*1.23</f>
        <v>110.7</v>
      </c>
    </row>
    <row r="18" ht="22.5" customHeight="1">
      <c r="A18" s="123" t="s">
        <v>205</v>
      </c>
      <c r="B18" s="123" t="s">
        <v>365</v>
      </c>
      <c r="C18" s="124">
        <v>500.0</v>
      </c>
      <c r="D18" s="243">
        <v>0.12</v>
      </c>
      <c r="E18" s="244">
        <f t="shared" si="2"/>
        <v>60</v>
      </c>
      <c r="F18" s="245">
        <v>0.12</v>
      </c>
      <c r="G18" s="127">
        <f t="shared" si="3"/>
        <v>60</v>
      </c>
      <c r="H18" s="127">
        <f t="shared" si="4"/>
        <v>120</v>
      </c>
      <c r="I18" s="246">
        <v>0.2</v>
      </c>
      <c r="J18" s="127">
        <f t="shared" si="5"/>
        <v>144</v>
      </c>
      <c r="K18" s="128">
        <f t="shared" si="6"/>
        <v>0.288</v>
      </c>
      <c r="L18" s="27">
        <f t="shared" si="7"/>
        <v>177.12</v>
      </c>
    </row>
    <row r="19" ht="22.5" customHeight="1">
      <c r="A19" s="123" t="s">
        <v>367</v>
      </c>
      <c r="B19" s="123" t="s">
        <v>365</v>
      </c>
      <c r="C19" s="124">
        <v>100.0</v>
      </c>
      <c r="D19" s="243">
        <v>0.12</v>
      </c>
      <c r="E19" s="244">
        <f t="shared" si="2"/>
        <v>12</v>
      </c>
      <c r="F19" s="245">
        <v>0.03</v>
      </c>
      <c r="G19" s="127">
        <f t="shared" si="3"/>
        <v>3</v>
      </c>
      <c r="H19" s="127">
        <f t="shared" si="4"/>
        <v>15</v>
      </c>
      <c r="I19" s="246">
        <v>3.0</v>
      </c>
      <c r="J19" s="127">
        <f t="shared" si="5"/>
        <v>60</v>
      </c>
      <c r="K19" s="128">
        <f t="shared" si="6"/>
        <v>0.6</v>
      </c>
    </row>
    <row r="20" ht="22.5" customHeight="1">
      <c r="A20" s="123"/>
      <c r="B20" s="123" t="s">
        <v>365</v>
      </c>
      <c r="C20" s="124">
        <v>500.0</v>
      </c>
      <c r="D20" s="243">
        <v>0.12</v>
      </c>
      <c r="E20" s="244">
        <f t="shared" si="2"/>
        <v>60</v>
      </c>
      <c r="F20" s="245">
        <v>0.03</v>
      </c>
      <c r="G20" s="127">
        <f t="shared" si="3"/>
        <v>15</v>
      </c>
      <c r="H20" s="127">
        <f t="shared" si="4"/>
        <v>75</v>
      </c>
      <c r="I20" s="246">
        <v>3.0</v>
      </c>
      <c r="J20" s="127">
        <f t="shared" si="5"/>
        <v>300</v>
      </c>
      <c r="K20" s="128">
        <f t="shared" si="6"/>
        <v>0.6</v>
      </c>
    </row>
    <row r="21" ht="22.5" customHeight="1">
      <c r="A21" s="123" t="s">
        <v>256</v>
      </c>
      <c r="B21" s="123" t="s">
        <v>365</v>
      </c>
      <c r="C21" s="124">
        <v>100.0</v>
      </c>
      <c r="D21" s="243">
        <v>0.12</v>
      </c>
      <c r="E21" s="244">
        <f t="shared" si="2"/>
        <v>12</v>
      </c>
      <c r="F21" s="245">
        <v>0.04</v>
      </c>
      <c r="G21" s="127">
        <f t="shared" si="3"/>
        <v>4</v>
      </c>
      <c r="H21" s="127">
        <f t="shared" si="4"/>
        <v>16</v>
      </c>
      <c r="I21" s="246">
        <v>2.0</v>
      </c>
      <c r="J21" s="127">
        <f t="shared" si="5"/>
        <v>48</v>
      </c>
      <c r="K21" s="128">
        <f t="shared" si="6"/>
        <v>0.48</v>
      </c>
    </row>
    <row r="22" ht="22.5" customHeight="1">
      <c r="D22" s="285"/>
      <c r="E22" s="73"/>
      <c r="F22" s="286"/>
      <c r="G22" s="27"/>
      <c r="I22" s="5"/>
      <c r="J22" s="183"/>
    </row>
    <row r="23" ht="22.5" customHeight="1">
      <c r="D23" s="285"/>
      <c r="E23" s="73"/>
      <c r="F23" s="286"/>
      <c r="G23" s="27"/>
      <c r="I23" s="5"/>
      <c r="J23" s="183"/>
    </row>
    <row r="24">
      <c r="D24" s="285"/>
      <c r="E24" s="73"/>
      <c r="F24" s="286"/>
      <c r="G24" s="27"/>
      <c r="I24" s="5"/>
      <c r="J24" s="183"/>
    </row>
    <row r="25">
      <c r="D25" s="285"/>
      <c r="E25" s="73"/>
      <c r="F25" s="286"/>
      <c r="G25" s="27"/>
      <c r="I25" s="5"/>
      <c r="J25" s="183"/>
    </row>
    <row r="26">
      <c r="D26" s="285"/>
      <c r="E26" s="73"/>
      <c r="F26" s="286"/>
      <c r="G26" s="27"/>
      <c r="I26" s="5"/>
      <c r="J26" s="183"/>
    </row>
    <row r="27">
      <c r="D27" s="285"/>
      <c r="E27" s="73"/>
      <c r="F27" s="286"/>
      <c r="G27" s="27"/>
      <c r="I27" s="5"/>
      <c r="J27" s="183"/>
    </row>
    <row r="28">
      <c r="D28" s="285"/>
      <c r="E28" s="73"/>
      <c r="F28" s="286"/>
      <c r="G28" s="27"/>
      <c r="I28" s="5"/>
      <c r="J28" s="183"/>
    </row>
    <row r="29">
      <c r="D29" s="285"/>
      <c r="E29" s="73"/>
      <c r="F29" s="286"/>
      <c r="G29" s="27"/>
      <c r="I29" s="5"/>
      <c r="J29" s="183"/>
    </row>
    <row r="30">
      <c r="D30" s="285"/>
      <c r="E30" s="73"/>
      <c r="F30" s="286"/>
      <c r="G30" s="27"/>
      <c r="I30" s="5"/>
      <c r="J30" s="183"/>
    </row>
    <row r="31">
      <c r="D31" s="285"/>
      <c r="E31" s="73"/>
      <c r="F31" s="286"/>
      <c r="G31" s="27"/>
      <c r="I31" s="5"/>
      <c r="J31" s="183"/>
    </row>
    <row r="32">
      <c r="D32" s="285"/>
      <c r="E32" s="73"/>
      <c r="F32" s="286"/>
      <c r="G32" s="27"/>
      <c r="I32" s="5"/>
      <c r="J32" s="183"/>
    </row>
    <row r="33">
      <c r="D33" s="285"/>
      <c r="E33" s="73"/>
      <c r="F33" s="286"/>
      <c r="G33" s="27"/>
      <c r="I33" s="5"/>
      <c r="J33" s="183"/>
    </row>
    <row r="34">
      <c r="D34" s="285"/>
      <c r="E34" s="73"/>
      <c r="F34" s="286"/>
      <c r="G34" s="27"/>
      <c r="I34" s="5"/>
      <c r="J34" s="183"/>
    </row>
    <row r="35">
      <c r="D35" s="285"/>
      <c r="E35" s="73"/>
      <c r="F35" s="286"/>
      <c r="G35" s="27"/>
      <c r="I35" s="5"/>
      <c r="J35" s="183"/>
    </row>
    <row r="36">
      <c r="D36" s="285"/>
      <c r="E36" s="73"/>
      <c r="F36" s="286"/>
      <c r="G36" s="27"/>
      <c r="I36" s="5"/>
      <c r="J36" s="183"/>
    </row>
    <row r="37">
      <c r="D37" s="285"/>
      <c r="E37" s="73"/>
      <c r="F37" s="286"/>
      <c r="G37" s="27"/>
      <c r="I37" s="5"/>
      <c r="J37" s="183"/>
    </row>
    <row r="38">
      <c r="D38" s="285"/>
      <c r="E38" s="73"/>
      <c r="F38" s="286"/>
      <c r="G38" s="27"/>
      <c r="I38" s="5"/>
      <c r="J38" s="183"/>
    </row>
    <row r="39">
      <c r="D39" s="285"/>
      <c r="E39" s="73"/>
      <c r="F39" s="286"/>
      <c r="G39" s="27"/>
      <c r="I39" s="5"/>
      <c r="J39" s="183"/>
    </row>
    <row r="40">
      <c r="D40" s="285"/>
      <c r="E40" s="73"/>
      <c r="F40" s="286"/>
      <c r="G40" s="27"/>
      <c r="I40" s="5"/>
      <c r="J40" s="183"/>
    </row>
    <row r="41">
      <c r="D41" s="285"/>
      <c r="E41" s="73"/>
      <c r="F41" s="286"/>
      <c r="G41" s="27"/>
      <c r="I41" s="5"/>
      <c r="J41" s="183"/>
    </row>
    <row r="42">
      <c r="D42" s="285"/>
      <c r="E42" s="73"/>
      <c r="F42" s="286"/>
      <c r="G42" s="27"/>
      <c r="I42" s="5"/>
      <c r="J42" s="183"/>
    </row>
    <row r="43">
      <c r="D43" s="285"/>
      <c r="E43" s="73"/>
      <c r="F43" s="286"/>
      <c r="G43" s="27"/>
      <c r="I43" s="5"/>
      <c r="J43" s="183"/>
    </row>
    <row r="44">
      <c r="D44" s="285"/>
      <c r="E44" s="73"/>
      <c r="F44" s="286"/>
      <c r="G44" s="27"/>
      <c r="I44" s="5"/>
      <c r="J44" s="183"/>
    </row>
    <row r="45">
      <c r="D45" s="285"/>
      <c r="E45" s="73"/>
      <c r="F45" s="286"/>
      <c r="G45" s="27"/>
      <c r="I45" s="5"/>
      <c r="J45" s="183"/>
    </row>
    <row r="46">
      <c r="D46" s="285"/>
      <c r="E46" s="73"/>
      <c r="F46" s="286"/>
      <c r="G46" s="27"/>
      <c r="I46" s="5"/>
      <c r="J46" s="183"/>
    </row>
    <row r="47">
      <c r="D47" s="285"/>
      <c r="E47" s="73"/>
      <c r="F47" s="286"/>
      <c r="G47" s="27"/>
      <c r="I47" s="5"/>
      <c r="J47" s="183"/>
    </row>
    <row r="48">
      <c r="D48" s="285"/>
      <c r="E48" s="73"/>
      <c r="F48" s="286"/>
      <c r="G48" s="27"/>
      <c r="I48" s="5"/>
      <c r="J48" s="183"/>
    </row>
    <row r="49">
      <c r="D49" s="285"/>
      <c r="E49" s="73"/>
      <c r="F49" s="286"/>
      <c r="G49" s="27"/>
      <c r="I49" s="5"/>
      <c r="J49" s="183"/>
    </row>
    <row r="50">
      <c r="D50" s="285"/>
      <c r="E50" s="73"/>
      <c r="F50" s="286"/>
      <c r="G50" s="27"/>
      <c r="I50" s="5"/>
      <c r="J50" s="183"/>
    </row>
    <row r="51">
      <c r="D51" s="285"/>
      <c r="E51" s="73"/>
      <c r="F51" s="286"/>
      <c r="G51" s="27"/>
      <c r="I51" s="5"/>
      <c r="J51" s="183"/>
    </row>
    <row r="52">
      <c r="D52" s="285"/>
      <c r="E52" s="73"/>
      <c r="F52" s="286"/>
      <c r="G52" s="27"/>
      <c r="I52" s="5"/>
      <c r="J52" s="183"/>
    </row>
    <row r="53">
      <c r="D53" s="285"/>
      <c r="E53" s="73"/>
      <c r="F53" s="286"/>
      <c r="G53" s="27"/>
      <c r="I53" s="5"/>
      <c r="J53" s="183"/>
    </row>
    <row r="54">
      <c r="D54" s="285"/>
      <c r="E54" s="73"/>
      <c r="F54" s="286"/>
      <c r="G54" s="27"/>
      <c r="I54" s="5"/>
      <c r="J54" s="183"/>
    </row>
    <row r="55">
      <c r="D55" s="285"/>
      <c r="E55" s="73"/>
      <c r="F55" s="286"/>
      <c r="G55" s="27"/>
      <c r="I55" s="5"/>
      <c r="J55" s="183"/>
    </row>
    <row r="56">
      <c r="D56" s="285"/>
      <c r="E56" s="73"/>
      <c r="F56" s="286"/>
      <c r="G56" s="27"/>
      <c r="I56" s="5"/>
      <c r="J56" s="183"/>
    </row>
    <row r="57">
      <c r="D57" s="285"/>
      <c r="E57" s="73"/>
      <c r="F57" s="286"/>
      <c r="G57" s="27"/>
      <c r="I57" s="5"/>
      <c r="J57" s="183"/>
    </row>
    <row r="58">
      <c r="D58" s="285"/>
      <c r="E58" s="73"/>
      <c r="F58" s="286"/>
      <c r="G58" s="27"/>
      <c r="I58" s="5"/>
      <c r="J58" s="183"/>
    </row>
    <row r="59">
      <c r="D59" s="285"/>
      <c r="E59" s="73"/>
      <c r="F59" s="286"/>
      <c r="G59" s="27"/>
      <c r="I59" s="5"/>
      <c r="J59" s="183"/>
    </row>
    <row r="60">
      <c r="D60" s="285"/>
      <c r="E60" s="73"/>
      <c r="F60" s="286"/>
      <c r="G60" s="27"/>
      <c r="I60" s="5"/>
      <c r="J60" s="183"/>
    </row>
    <row r="61">
      <c r="D61" s="285"/>
      <c r="E61" s="73"/>
      <c r="F61" s="286"/>
      <c r="G61" s="27"/>
      <c r="I61" s="5"/>
      <c r="J61" s="183"/>
    </row>
    <row r="62">
      <c r="D62" s="285"/>
      <c r="E62" s="73"/>
      <c r="F62" s="286"/>
      <c r="G62" s="27"/>
      <c r="I62" s="5"/>
      <c r="J62" s="183"/>
    </row>
    <row r="63">
      <c r="D63" s="285"/>
      <c r="E63" s="73"/>
      <c r="F63" s="286"/>
      <c r="G63" s="27"/>
      <c r="I63" s="5"/>
      <c r="J63" s="183"/>
    </row>
    <row r="64">
      <c r="D64" s="285"/>
      <c r="E64" s="73"/>
      <c r="F64" s="286"/>
      <c r="G64" s="27"/>
      <c r="I64" s="5"/>
      <c r="J64" s="183"/>
    </row>
    <row r="65">
      <c r="D65" s="285"/>
      <c r="E65" s="73"/>
      <c r="F65" s="286"/>
      <c r="G65" s="27"/>
      <c r="I65" s="5"/>
      <c r="J65" s="183"/>
    </row>
    <row r="66">
      <c r="D66" s="285"/>
      <c r="E66" s="73"/>
      <c r="F66" s="286"/>
      <c r="G66" s="27"/>
      <c r="I66" s="5"/>
      <c r="J66" s="183"/>
    </row>
    <row r="67">
      <c r="D67" s="285"/>
      <c r="E67" s="73"/>
      <c r="F67" s="286"/>
      <c r="G67" s="27"/>
      <c r="I67" s="5"/>
      <c r="J67" s="183"/>
    </row>
    <row r="68">
      <c r="D68" s="285"/>
      <c r="E68" s="73"/>
      <c r="F68" s="286"/>
      <c r="G68" s="27"/>
      <c r="I68" s="5"/>
      <c r="J68" s="183"/>
    </row>
    <row r="69">
      <c r="D69" s="285"/>
      <c r="E69" s="73"/>
      <c r="F69" s="286"/>
      <c r="G69" s="27"/>
      <c r="I69" s="5"/>
      <c r="J69" s="183"/>
    </row>
    <row r="70">
      <c r="D70" s="285"/>
      <c r="E70" s="73"/>
      <c r="F70" s="286"/>
      <c r="G70" s="27"/>
      <c r="I70" s="5"/>
      <c r="J70" s="183"/>
    </row>
    <row r="71">
      <c r="D71" s="285"/>
      <c r="E71" s="73"/>
      <c r="F71" s="286"/>
      <c r="G71" s="27"/>
      <c r="I71" s="5"/>
      <c r="J71" s="183"/>
    </row>
    <row r="72">
      <c r="D72" s="285"/>
      <c r="E72" s="73"/>
      <c r="F72" s="286"/>
      <c r="G72" s="27"/>
      <c r="I72" s="5"/>
      <c r="J72" s="183"/>
    </row>
    <row r="73">
      <c r="D73" s="285"/>
      <c r="E73" s="73"/>
      <c r="F73" s="286"/>
      <c r="G73" s="27"/>
      <c r="I73" s="5"/>
      <c r="J73" s="183"/>
    </row>
    <row r="74">
      <c r="D74" s="285"/>
      <c r="E74" s="73"/>
      <c r="F74" s="286"/>
      <c r="G74" s="27"/>
      <c r="I74" s="5"/>
      <c r="J74" s="183"/>
    </row>
    <row r="75">
      <c r="D75" s="285"/>
      <c r="E75" s="73"/>
      <c r="F75" s="286"/>
      <c r="G75" s="27"/>
      <c r="I75" s="5"/>
      <c r="J75" s="183"/>
    </row>
    <row r="76">
      <c r="D76" s="285"/>
      <c r="E76" s="73"/>
      <c r="F76" s="286"/>
      <c r="G76" s="27"/>
      <c r="I76" s="5"/>
      <c r="J76" s="183"/>
    </row>
    <row r="77">
      <c r="D77" s="285"/>
      <c r="E77" s="73"/>
      <c r="F77" s="286"/>
      <c r="G77" s="27"/>
      <c r="I77" s="5"/>
      <c r="J77" s="183"/>
    </row>
    <row r="78">
      <c r="D78" s="285"/>
      <c r="E78" s="73"/>
      <c r="F78" s="286"/>
      <c r="G78" s="27"/>
      <c r="I78" s="5"/>
      <c r="J78" s="183"/>
    </row>
    <row r="79">
      <c r="D79" s="285"/>
      <c r="E79" s="73"/>
      <c r="F79" s="286"/>
      <c r="G79" s="27"/>
      <c r="I79" s="5"/>
      <c r="J79" s="183"/>
    </row>
    <row r="80">
      <c r="D80" s="285"/>
      <c r="E80" s="73"/>
      <c r="F80" s="286"/>
      <c r="G80" s="27"/>
      <c r="I80" s="5"/>
      <c r="J80" s="183"/>
    </row>
    <row r="81">
      <c r="D81" s="285"/>
      <c r="E81" s="73"/>
      <c r="F81" s="286"/>
      <c r="G81" s="27"/>
      <c r="I81" s="5"/>
      <c r="J81" s="183"/>
    </row>
    <row r="82">
      <c r="D82" s="285"/>
      <c r="E82" s="73"/>
      <c r="F82" s="286"/>
      <c r="G82" s="27"/>
      <c r="I82" s="5"/>
      <c r="J82" s="183"/>
    </row>
    <row r="83">
      <c r="D83" s="285"/>
      <c r="E83" s="73"/>
      <c r="F83" s="286"/>
      <c r="G83" s="27"/>
      <c r="I83" s="5"/>
      <c r="J83" s="183"/>
    </row>
    <row r="84">
      <c r="D84" s="285"/>
      <c r="E84" s="73"/>
      <c r="F84" s="286"/>
      <c r="G84" s="27"/>
      <c r="I84" s="5"/>
      <c r="J84" s="183"/>
    </row>
    <row r="85">
      <c r="D85" s="285"/>
      <c r="E85" s="73"/>
      <c r="F85" s="286"/>
      <c r="G85" s="27"/>
      <c r="I85" s="5"/>
      <c r="J85" s="183"/>
    </row>
    <row r="86">
      <c r="D86" s="285"/>
      <c r="E86" s="73"/>
      <c r="F86" s="286"/>
      <c r="G86" s="27"/>
      <c r="I86" s="5"/>
      <c r="J86" s="183"/>
    </row>
    <row r="87">
      <c r="D87" s="285"/>
      <c r="E87" s="73"/>
      <c r="F87" s="286"/>
      <c r="G87" s="27"/>
      <c r="I87" s="5"/>
      <c r="J87" s="183"/>
    </row>
    <row r="88">
      <c r="D88" s="285"/>
      <c r="E88" s="73"/>
      <c r="F88" s="286"/>
      <c r="G88" s="27"/>
      <c r="I88" s="5"/>
      <c r="J88" s="183"/>
    </row>
    <row r="89">
      <c r="D89" s="285"/>
      <c r="E89" s="73"/>
      <c r="F89" s="286"/>
      <c r="G89" s="27"/>
      <c r="I89" s="5"/>
      <c r="J89" s="183"/>
    </row>
    <row r="90">
      <c r="D90" s="285"/>
      <c r="E90" s="73"/>
      <c r="F90" s="286"/>
      <c r="G90" s="27"/>
      <c r="I90" s="5"/>
      <c r="J90" s="183"/>
    </row>
    <row r="91">
      <c r="D91" s="285"/>
      <c r="E91" s="73"/>
      <c r="F91" s="286"/>
      <c r="G91" s="27"/>
      <c r="I91" s="5"/>
      <c r="J91" s="183"/>
    </row>
    <row r="92">
      <c r="D92" s="285"/>
      <c r="E92" s="73"/>
      <c r="F92" s="286"/>
      <c r="G92" s="27"/>
      <c r="I92" s="5"/>
      <c r="J92" s="183"/>
    </row>
    <row r="93">
      <c r="D93" s="285"/>
      <c r="E93" s="73"/>
      <c r="F93" s="286"/>
      <c r="G93" s="27"/>
      <c r="I93" s="5"/>
      <c r="J93" s="183"/>
    </row>
    <row r="94">
      <c r="D94" s="285"/>
      <c r="E94" s="73"/>
      <c r="F94" s="286"/>
      <c r="G94" s="27"/>
      <c r="I94" s="5"/>
      <c r="J94" s="183"/>
    </row>
    <row r="95">
      <c r="D95" s="285"/>
      <c r="E95" s="73"/>
      <c r="F95" s="286"/>
      <c r="G95" s="27"/>
      <c r="I95" s="5"/>
      <c r="J95" s="183"/>
    </row>
    <row r="96">
      <c r="D96" s="285"/>
      <c r="E96" s="73"/>
      <c r="F96" s="286"/>
      <c r="G96" s="27"/>
      <c r="I96" s="5"/>
      <c r="J96" s="183"/>
    </row>
    <row r="97">
      <c r="D97" s="285"/>
      <c r="E97" s="73"/>
      <c r="F97" s="286"/>
      <c r="G97" s="27"/>
      <c r="I97" s="5"/>
      <c r="J97" s="183"/>
    </row>
    <row r="98">
      <c r="D98" s="285"/>
      <c r="E98" s="73"/>
      <c r="F98" s="286"/>
      <c r="G98" s="27"/>
      <c r="I98" s="5"/>
      <c r="J98" s="183"/>
    </row>
    <row r="99">
      <c r="D99" s="285"/>
      <c r="E99" s="73"/>
      <c r="F99" s="286"/>
      <c r="G99" s="27"/>
      <c r="I99" s="5"/>
      <c r="J99" s="183"/>
    </row>
    <row r="100">
      <c r="D100" s="285"/>
      <c r="E100" s="73"/>
      <c r="F100" s="286"/>
      <c r="G100" s="27"/>
      <c r="I100" s="5"/>
      <c r="J100" s="183"/>
    </row>
    <row r="101">
      <c r="D101" s="285"/>
      <c r="E101" s="73"/>
      <c r="F101" s="286"/>
      <c r="G101" s="27"/>
      <c r="I101" s="5"/>
      <c r="J101" s="183"/>
    </row>
    <row r="102">
      <c r="D102" s="285"/>
      <c r="E102" s="73"/>
      <c r="F102" s="286"/>
      <c r="G102" s="27"/>
      <c r="I102" s="5"/>
      <c r="J102" s="183"/>
    </row>
    <row r="103">
      <c r="D103" s="285"/>
      <c r="E103" s="73"/>
      <c r="F103" s="286"/>
      <c r="G103" s="27"/>
      <c r="I103" s="5"/>
      <c r="J103" s="183"/>
    </row>
    <row r="104">
      <c r="D104" s="285"/>
      <c r="E104" s="73"/>
      <c r="F104" s="286"/>
      <c r="G104" s="27"/>
      <c r="I104" s="5"/>
      <c r="J104" s="183"/>
    </row>
    <row r="105">
      <c r="D105" s="285"/>
      <c r="E105" s="73"/>
      <c r="F105" s="286"/>
      <c r="G105" s="27"/>
      <c r="I105" s="5"/>
      <c r="J105" s="183"/>
    </row>
    <row r="106">
      <c r="D106" s="285"/>
      <c r="E106" s="73"/>
      <c r="F106" s="286"/>
      <c r="G106" s="27"/>
      <c r="I106" s="5"/>
      <c r="J106" s="183"/>
    </row>
    <row r="107">
      <c r="D107" s="285"/>
      <c r="E107" s="73"/>
      <c r="F107" s="286"/>
      <c r="G107" s="27"/>
      <c r="I107" s="5"/>
      <c r="J107" s="183"/>
    </row>
    <row r="108">
      <c r="D108" s="285"/>
      <c r="E108" s="73"/>
      <c r="F108" s="286"/>
      <c r="G108" s="27"/>
      <c r="I108" s="5"/>
      <c r="J108" s="183"/>
    </row>
    <row r="109">
      <c r="D109" s="285"/>
      <c r="E109" s="73"/>
      <c r="F109" s="286"/>
      <c r="G109" s="27"/>
      <c r="I109" s="5"/>
      <c r="J109" s="183"/>
    </row>
    <row r="110">
      <c r="D110" s="285"/>
      <c r="E110" s="73"/>
      <c r="F110" s="286"/>
      <c r="G110" s="27"/>
      <c r="I110" s="5"/>
      <c r="J110" s="183"/>
    </row>
    <row r="111">
      <c r="D111" s="285"/>
      <c r="E111" s="73"/>
      <c r="F111" s="286"/>
      <c r="G111" s="27"/>
      <c r="I111" s="5"/>
      <c r="J111" s="183"/>
    </row>
    <row r="112">
      <c r="D112" s="285"/>
      <c r="E112" s="73"/>
      <c r="F112" s="286"/>
      <c r="G112" s="27"/>
      <c r="I112" s="5"/>
      <c r="J112" s="183"/>
    </row>
    <row r="113">
      <c r="D113" s="285"/>
      <c r="E113" s="73"/>
      <c r="F113" s="286"/>
      <c r="G113" s="27"/>
      <c r="I113" s="5"/>
      <c r="J113" s="183"/>
    </row>
    <row r="114">
      <c r="D114" s="285"/>
      <c r="E114" s="73"/>
      <c r="F114" s="286"/>
      <c r="G114" s="27"/>
      <c r="I114" s="5"/>
      <c r="J114" s="183"/>
    </row>
    <row r="115">
      <c r="D115" s="285"/>
      <c r="E115" s="73"/>
      <c r="F115" s="286"/>
      <c r="G115" s="27"/>
      <c r="I115" s="5"/>
      <c r="J115" s="183"/>
    </row>
    <row r="116">
      <c r="D116" s="285"/>
      <c r="E116" s="73"/>
      <c r="F116" s="286"/>
      <c r="G116" s="27"/>
      <c r="I116" s="5"/>
      <c r="J116" s="183"/>
    </row>
    <row r="117">
      <c r="D117" s="285"/>
      <c r="E117" s="73"/>
      <c r="F117" s="286"/>
      <c r="G117" s="27"/>
      <c r="I117" s="5"/>
      <c r="J117" s="183"/>
    </row>
    <row r="118">
      <c r="D118" s="285"/>
      <c r="E118" s="73"/>
      <c r="F118" s="286"/>
      <c r="G118" s="27"/>
      <c r="I118" s="5"/>
      <c r="J118" s="183"/>
    </row>
    <row r="119">
      <c r="D119" s="285"/>
      <c r="E119" s="73"/>
      <c r="F119" s="286"/>
      <c r="G119" s="27"/>
      <c r="I119" s="5"/>
      <c r="J119" s="183"/>
    </row>
    <row r="120">
      <c r="D120" s="285"/>
      <c r="E120" s="73"/>
      <c r="F120" s="286"/>
      <c r="G120" s="27"/>
      <c r="I120" s="5"/>
      <c r="J120" s="183"/>
    </row>
    <row r="121">
      <c r="D121" s="285"/>
      <c r="E121" s="73"/>
      <c r="F121" s="286"/>
      <c r="G121" s="27"/>
      <c r="I121" s="5"/>
      <c r="J121" s="183"/>
    </row>
    <row r="122">
      <c r="D122" s="285"/>
      <c r="E122" s="73"/>
      <c r="F122" s="286"/>
      <c r="G122" s="27"/>
      <c r="I122" s="5"/>
      <c r="J122" s="183"/>
    </row>
    <row r="123">
      <c r="D123" s="285"/>
      <c r="E123" s="73"/>
      <c r="F123" s="286"/>
      <c r="G123" s="27"/>
      <c r="I123" s="5"/>
      <c r="J123" s="183"/>
    </row>
    <row r="124">
      <c r="D124" s="285"/>
      <c r="E124" s="73"/>
      <c r="F124" s="286"/>
      <c r="G124" s="27"/>
      <c r="I124" s="5"/>
      <c r="J124" s="183"/>
    </row>
    <row r="125">
      <c r="D125" s="285"/>
      <c r="E125" s="73"/>
      <c r="F125" s="286"/>
      <c r="G125" s="27"/>
      <c r="I125" s="5"/>
      <c r="J125" s="183"/>
    </row>
    <row r="126">
      <c r="D126" s="285"/>
      <c r="E126" s="73"/>
      <c r="F126" s="286"/>
      <c r="G126" s="27"/>
      <c r="I126" s="5"/>
      <c r="J126" s="183"/>
    </row>
    <row r="127">
      <c r="D127" s="285"/>
      <c r="E127" s="73"/>
      <c r="F127" s="286"/>
      <c r="G127" s="27"/>
      <c r="I127" s="5"/>
      <c r="J127" s="183"/>
    </row>
    <row r="128">
      <c r="D128" s="285"/>
      <c r="E128" s="73"/>
      <c r="F128" s="286"/>
      <c r="G128" s="27"/>
      <c r="I128" s="5"/>
      <c r="J128" s="183"/>
    </row>
    <row r="129">
      <c r="D129" s="285"/>
      <c r="E129" s="73"/>
      <c r="F129" s="286"/>
      <c r="G129" s="27"/>
      <c r="I129" s="5"/>
      <c r="J129" s="183"/>
    </row>
    <row r="130">
      <c r="D130" s="285"/>
      <c r="E130" s="73"/>
      <c r="F130" s="286"/>
      <c r="G130" s="27"/>
      <c r="I130" s="5"/>
      <c r="J130" s="183"/>
    </row>
    <row r="131">
      <c r="D131" s="285"/>
      <c r="E131" s="73"/>
      <c r="F131" s="286"/>
      <c r="G131" s="27"/>
      <c r="I131" s="5"/>
      <c r="J131" s="183"/>
    </row>
    <row r="132">
      <c r="D132" s="285"/>
      <c r="E132" s="73"/>
      <c r="F132" s="286"/>
      <c r="G132" s="27"/>
      <c r="I132" s="5"/>
      <c r="J132" s="183"/>
    </row>
    <row r="133">
      <c r="D133" s="285"/>
      <c r="E133" s="73"/>
      <c r="F133" s="286"/>
      <c r="G133" s="27"/>
      <c r="I133" s="5"/>
      <c r="J133" s="183"/>
    </row>
    <row r="134">
      <c r="D134" s="285"/>
      <c r="E134" s="73"/>
      <c r="F134" s="286"/>
      <c r="G134" s="27"/>
      <c r="I134" s="5"/>
      <c r="J134" s="183"/>
    </row>
    <row r="135">
      <c r="D135" s="285"/>
      <c r="E135" s="73"/>
      <c r="F135" s="286"/>
      <c r="G135" s="27"/>
      <c r="I135" s="5"/>
      <c r="J135" s="183"/>
    </row>
    <row r="136">
      <c r="D136" s="285"/>
      <c r="E136" s="73"/>
      <c r="F136" s="286"/>
      <c r="G136" s="27"/>
      <c r="I136" s="5"/>
      <c r="J136" s="183"/>
    </row>
    <row r="137">
      <c r="D137" s="285"/>
      <c r="E137" s="73"/>
      <c r="F137" s="286"/>
      <c r="G137" s="27"/>
      <c r="I137" s="5"/>
      <c r="J137" s="183"/>
    </row>
    <row r="138">
      <c r="D138" s="285"/>
      <c r="E138" s="73"/>
      <c r="F138" s="286"/>
      <c r="G138" s="27"/>
      <c r="I138" s="5"/>
      <c r="J138" s="183"/>
    </row>
    <row r="139">
      <c r="D139" s="285"/>
      <c r="E139" s="73"/>
      <c r="F139" s="286"/>
      <c r="G139" s="27"/>
      <c r="I139" s="5"/>
      <c r="J139" s="183"/>
    </row>
    <row r="140">
      <c r="D140" s="285"/>
      <c r="E140" s="73"/>
      <c r="F140" s="286"/>
      <c r="G140" s="27"/>
      <c r="I140" s="5"/>
      <c r="J140" s="183"/>
    </row>
    <row r="141">
      <c r="D141" s="285"/>
      <c r="E141" s="73"/>
      <c r="F141" s="286"/>
      <c r="G141" s="27"/>
      <c r="I141" s="5"/>
      <c r="J141" s="183"/>
    </row>
    <row r="142">
      <c r="D142" s="285"/>
      <c r="E142" s="73"/>
      <c r="F142" s="286"/>
      <c r="G142" s="27"/>
      <c r="I142" s="5"/>
      <c r="J142" s="183"/>
    </row>
    <row r="143">
      <c r="D143" s="285"/>
      <c r="E143" s="73"/>
      <c r="F143" s="286"/>
      <c r="G143" s="27"/>
      <c r="I143" s="5"/>
      <c r="J143" s="183"/>
    </row>
    <row r="144">
      <c r="D144" s="285"/>
      <c r="E144" s="73"/>
      <c r="F144" s="286"/>
      <c r="G144" s="27"/>
      <c r="I144" s="5"/>
      <c r="J144" s="183"/>
    </row>
    <row r="145">
      <c r="D145" s="285"/>
      <c r="E145" s="73"/>
      <c r="F145" s="286"/>
      <c r="G145" s="27"/>
      <c r="I145" s="5"/>
      <c r="J145" s="183"/>
    </row>
    <row r="146">
      <c r="D146" s="285"/>
      <c r="E146" s="73"/>
      <c r="F146" s="286"/>
      <c r="G146" s="27"/>
      <c r="I146" s="5"/>
      <c r="J146" s="183"/>
    </row>
    <row r="147">
      <c r="D147" s="285"/>
      <c r="E147" s="73"/>
      <c r="F147" s="286"/>
      <c r="G147" s="27"/>
      <c r="I147" s="5"/>
      <c r="J147" s="183"/>
    </row>
    <row r="148">
      <c r="D148" s="285"/>
      <c r="E148" s="73"/>
      <c r="F148" s="286"/>
      <c r="G148" s="27"/>
      <c r="I148" s="5"/>
      <c r="J148" s="183"/>
    </row>
    <row r="149">
      <c r="D149" s="285"/>
      <c r="E149" s="73"/>
      <c r="F149" s="286"/>
      <c r="G149" s="27"/>
      <c r="I149" s="5"/>
      <c r="J149" s="183"/>
    </row>
    <row r="150">
      <c r="D150" s="285"/>
      <c r="E150" s="73"/>
      <c r="F150" s="286"/>
      <c r="G150" s="27"/>
      <c r="I150" s="5"/>
      <c r="J150" s="183"/>
    </row>
    <row r="151">
      <c r="D151" s="285"/>
      <c r="E151" s="73"/>
      <c r="F151" s="286"/>
      <c r="G151" s="27"/>
      <c r="I151" s="5"/>
      <c r="J151" s="183"/>
    </row>
    <row r="152">
      <c r="D152" s="285"/>
      <c r="E152" s="73"/>
      <c r="F152" s="286"/>
      <c r="G152" s="27"/>
      <c r="I152" s="5"/>
      <c r="J152" s="183"/>
    </row>
    <row r="153">
      <c r="D153" s="285"/>
      <c r="E153" s="73"/>
      <c r="F153" s="286"/>
      <c r="G153" s="27"/>
      <c r="I153" s="5"/>
      <c r="J153" s="183"/>
    </row>
    <row r="154">
      <c r="D154" s="285"/>
      <c r="E154" s="73"/>
      <c r="F154" s="286"/>
      <c r="G154" s="27"/>
      <c r="I154" s="5"/>
      <c r="J154" s="183"/>
    </row>
    <row r="155">
      <c r="D155" s="285"/>
      <c r="E155" s="73"/>
      <c r="F155" s="286"/>
      <c r="G155" s="27"/>
      <c r="I155" s="5"/>
      <c r="J155" s="183"/>
    </row>
    <row r="156">
      <c r="D156" s="285"/>
      <c r="E156" s="73"/>
      <c r="F156" s="286"/>
      <c r="G156" s="27"/>
      <c r="I156" s="5"/>
      <c r="J156" s="183"/>
    </row>
    <row r="157">
      <c r="D157" s="285"/>
      <c r="E157" s="73"/>
      <c r="F157" s="286"/>
      <c r="G157" s="27"/>
      <c r="I157" s="5"/>
      <c r="J157" s="183"/>
    </row>
    <row r="158">
      <c r="D158" s="285"/>
      <c r="E158" s="73"/>
      <c r="F158" s="286"/>
      <c r="G158" s="27"/>
      <c r="I158" s="5"/>
      <c r="J158" s="183"/>
    </row>
    <row r="159">
      <c r="D159" s="285"/>
      <c r="E159" s="73"/>
      <c r="F159" s="286"/>
      <c r="G159" s="27"/>
      <c r="I159" s="5"/>
      <c r="J159" s="183"/>
    </row>
    <row r="160">
      <c r="D160" s="285"/>
      <c r="E160" s="73"/>
      <c r="F160" s="286"/>
      <c r="G160" s="27"/>
      <c r="I160" s="5"/>
      <c r="J160" s="183"/>
    </row>
    <row r="161">
      <c r="D161" s="285"/>
      <c r="E161" s="73"/>
      <c r="F161" s="286"/>
      <c r="G161" s="27"/>
      <c r="I161" s="5"/>
      <c r="J161" s="183"/>
    </row>
    <row r="162">
      <c r="D162" s="285"/>
      <c r="E162" s="73"/>
      <c r="F162" s="286"/>
      <c r="G162" s="27"/>
      <c r="I162" s="5"/>
      <c r="J162" s="183"/>
    </row>
    <row r="163">
      <c r="D163" s="285"/>
      <c r="E163" s="73"/>
      <c r="F163" s="286"/>
      <c r="G163" s="27"/>
      <c r="I163" s="5"/>
      <c r="J163" s="183"/>
    </row>
    <row r="164">
      <c r="D164" s="285"/>
      <c r="E164" s="73"/>
      <c r="F164" s="286"/>
      <c r="G164" s="27"/>
      <c r="I164" s="5"/>
      <c r="J164" s="183"/>
    </row>
    <row r="165">
      <c r="D165" s="285"/>
      <c r="E165" s="73"/>
      <c r="F165" s="286"/>
      <c r="G165" s="27"/>
      <c r="I165" s="5"/>
      <c r="J165" s="183"/>
    </row>
    <row r="166">
      <c r="D166" s="285"/>
      <c r="E166" s="73"/>
      <c r="F166" s="286"/>
      <c r="G166" s="27"/>
      <c r="I166" s="5"/>
      <c r="J166" s="183"/>
    </row>
    <row r="167">
      <c r="D167" s="285"/>
      <c r="E167" s="73"/>
      <c r="F167" s="286"/>
      <c r="G167" s="27"/>
      <c r="I167" s="5"/>
      <c r="J167" s="183"/>
    </row>
    <row r="168">
      <c r="D168" s="285"/>
      <c r="E168" s="73"/>
      <c r="F168" s="286"/>
      <c r="G168" s="27"/>
      <c r="I168" s="5"/>
      <c r="J168" s="183"/>
    </row>
    <row r="169">
      <c r="D169" s="285"/>
      <c r="E169" s="73"/>
      <c r="F169" s="286"/>
      <c r="G169" s="27"/>
      <c r="I169" s="5"/>
      <c r="J169" s="183"/>
    </row>
    <row r="170">
      <c r="D170" s="285"/>
      <c r="E170" s="73"/>
      <c r="F170" s="286"/>
      <c r="G170" s="27"/>
      <c r="I170" s="5"/>
      <c r="J170" s="183"/>
    </row>
    <row r="171">
      <c r="D171" s="285"/>
      <c r="E171" s="73"/>
      <c r="F171" s="286"/>
      <c r="G171" s="27"/>
      <c r="I171" s="5"/>
      <c r="J171" s="183"/>
    </row>
    <row r="172">
      <c r="D172" s="285"/>
      <c r="E172" s="73"/>
      <c r="F172" s="286"/>
      <c r="G172" s="27"/>
      <c r="I172" s="5"/>
      <c r="J172" s="183"/>
    </row>
    <row r="173">
      <c r="D173" s="285"/>
      <c r="E173" s="73"/>
      <c r="F173" s="286"/>
      <c r="G173" s="27"/>
      <c r="I173" s="5"/>
      <c r="J173" s="183"/>
    </row>
    <row r="174">
      <c r="D174" s="285"/>
      <c r="E174" s="73"/>
      <c r="F174" s="286"/>
      <c r="G174" s="27"/>
      <c r="I174" s="5"/>
      <c r="J174" s="183"/>
    </row>
    <row r="175">
      <c r="D175" s="285"/>
      <c r="E175" s="73"/>
      <c r="F175" s="286"/>
      <c r="G175" s="27"/>
      <c r="I175" s="5"/>
      <c r="J175" s="183"/>
    </row>
    <row r="176">
      <c r="D176" s="285"/>
      <c r="E176" s="73"/>
      <c r="F176" s="286"/>
      <c r="G176" s="27"/>
      <c r="I176" s="5"/>
      <c r="J176" s="183"/>
    </row>
    <row r="177">
      <c r="D177" s="285"/>
      <c r="E177" s="73"/>
      <c r="F177" s="286"/>
      <c r="G177" s="27"/>
      <c r="I177" s="5"/>
      <c r="J177" s="183"/>
    </row>
    <row r="178">
      <c r="D178" s="285"/>
      <c r="E178" s="73"/>
      <c r="F178" s="286"/>
      <c r="G178" s="27"/>
      <c r="I178" s="5"/>
      <c r="J178" s="183"/>
    </row>
    <row r="179">
      <c r="D179" s="285"/>
      <c r="E179" s="73"/>
      <c r="F179" s="286"/>
      <c r="G179" s="27"/>
      <c r="I179" s="5"/>
      <c r="J179" s="183"/>
    </row>
    <row r="180">
      <c r="D180" s="285"/>
      <c r="E180" s="73"/>
      <c r="F180" s="286"/>
      <c r="G180" s="27"/>
      <c r="I180" s="5"/>
      <c r="J180" s="183"/>
    </row>
    <row r="181">
      <c r="D181" s="285"/>
      <c r="E181" s="73"/>
      <c r="F181" s="286"/>
      <c r="G181" s="27"/>
      <c r="I181" s="5"/>
      <c r="J181" s="183"/>
    </row>
    <row r="182">
      <c r="D182" s="285"/>
      <c r="E182" s="73"/>
      <c r="F182" s="286"/>
      <c r="G182" s="27"/>
      <c r="I182" s="5"/>
      <c r="J182" s="183"/>
    </row>
    <row r="183">
      <c r="D183" s="285"/>
      <c r="E183" s="73"/>
      <c r="F183" s="286"/>
      <c r="G183" s="27"/>
      <c r="I183" s="5"/>
      <c r="J183" s="183"/>
    </row>
    <row r="184">
      <c r="D184" s="285"/>
      <c r="E184" s="73"/>
      <c r="F184" s="286"/>
      <c r="G184" s="27"/>
      <c r="I184" s="5"/>
      <c r="J184" s="183"/>
    </row>
    <row r="185">
      <c r="D185" s="285"/>
      <c r="E185" s="73"/>
      <c r="F185" s="286"/>
      <c r="G185" s="27"/>
      <c r="I185" s="5"/>
      <c r="J185" s="183"/>
    </row>
    <row r="186">
      <c r="D186" s="285"/>
      <c r="E186" s="73"/>
      <c r="F186" s="286"/>
      <c r="G186" s="27"/>
      <c r="I186" s="5"/>
      <c r="J186" s="183"/>
    </row>
    <row r="187">
      <c r="D187" s="285"/>
      <c r="E187" s="73"/>
      <c r="F187" s="286"/>
      <c r="G187" s="27"/>
      <c r="I187" s="5"/>
      <c r="J187" s="183"/>
    </row>
    <row r="188">
      <c r="D188" s="285"/>
      <c r="E188" s="73"/>
      <c r="F188" s="286"/>
      <c r="G188" s="27"/>
      <c r="I188" s="5"/>
      <c r="J188" s="183"/>
    </row>
    <row r="189">
      <c r="D189" s="285"/>
      <c r="E189" s="73"/>
      <c r="F189" s="286"/>
      <c r="G189" s="27"/>
      <c r="I189" s="5"/>
      <c r="J189" s="183"/>
    </row>
    <row r="190">
      <c r="D190" s="285"/>
      <c r="E190" s="73"/>
      <c r="F190" s="286"/>
      <c r="G190" s="27"/>
      <c r="I190" s="5"/>
      <c r="J190" s="183"/>
    </row>
    <row r="191">
      <c r="D191" s="285"/>
      <c r="E191" s="73"/>
      <c r="F191" s="286"/>
      <c r="G191" s="27"/>
      <c r="I191" s="5"/>
      <c r="J191" s="183"/>
    </row>
    <row r="192">
      <c r="D192" s="285"/>
      <c r="E192" s="73"/>
      <c r="F192" s="286"/>
      <c r="G192" s="27"/>
      <c r="I192" s="5"/>
      <c r="J192" s="183"/>
    </row>
    <row r="193">
      <c r="D193" s="285"/>
      <c r="E193" s="73"/>
      <c r="F193" s="286"/>
      <c r="G193" s="27"/>
      <c r="I193" s="5"/>
      <c r="J193" s="183"/>
    </row>
    <row r="194">
      <c r="D194" s="285"/>
      <c r="E194" s="73"/>
      <c r="F194" s="286"/>
      <c r="G194" s="27"/>
      <c r="I194" s="5"/>
      <c r="J194" s="183"/>
    </row>
    <row r="195">
      <c r="D195" s="285"/>
      <c r="E195" s="73"/>
      <c r="F195" s="286"/>
      <c r="G195" s="27"/>
      <c r="I195" s="5"/>
      <c r="J195" s="183"/>
    </row>
    <row r="196">
      <c r="D196" s="285"/>
      <c r="E196" s="73"/>
      <c r="F196" s="286"/>
      <c r="G196" s="27"/>
      <c r="I196" s="5"/>
      <c r="J196" s="183"/>
    </row>
    <row r="197">
      <c r="D197" s="285"/>
      <c r="E197" s="73"/>
      <c r="F197" s="286"/>
      <c r="G197" s="27"/>
      <c r="I197" s="5"/>
      <c r="J197" s="183"/>
    </row>
    <row r="198">
      <c r="D198" s="285"/>
      <c r="E198" s="73"/>
      <c r="F198" s="286"/>
      <c r="G198" s="27"/>
      <c r="I198" s="5"/>
      <c r="J198" s="183"/>
    </row>
    <row r="199">
      <c r="D199" s="285"/>
      <c r="E199" s="73"/>
      <c r="F199" s="286"/>
      <c r="G199" s="27"/>
      <c r="I199" s="5"/>
      <c r="J199" s="183"/>
    </row>
    <row r="200">
      <c r="D200" s="285"/>
      <c r="E200" s="73"/>
      <c r="F200" s="286"/>
      <c r="G200" s="27"/>
      <c r="I200" s="5"/>
      <c r="J200" s="183"/>
    </row>
    <row r="201">
      <c r="D201" s="285"/>
      <c r="E201" s="73"/>
      <c r="F201" s="286"/>
      <c r="G201" s="27"/>
      <c r="I201" s="5"/>
      <c r="J201" s="183"/>
    </row>
    <row r="202">
      <c r="D202" s="285"/>
      <c r="E202" s="73"/>
      <c r="F202" s="286"/>
      <c r="G202" s="27"/>
      <c r="I202" s="5"/>
      <c r="J202" s="183"/>
    </row>
    <row r="203">
      <c r="D203" s="285"/>
      <c r="E203" s="73"/>
      <c r="F203" s="286"/>
      <c r="G203" s="27"/>
      <c r="I203" s="5"/>
      <c r="J203" s="183"/>
    </row>
    <row r="204">
      <c r="D204" s="285"/>
      <c r="E204" s="73"/>
      <c r="F204" s="286"/>
      <c r="G204" s="27"/>
      <c r="I204" s="5"/>
      <c r="J204" s="183"/>
    </row>
    <row r="205">
      <c r="D205" s="285"/>
      <c r="E205" s="73"/>
      <c r="F205" s="286"/>
      <c r="G205" s="27"/>
      <c r="I205" s="5"/>
      <c r="J205" s="183"/>
    </row>
    <row r="206">
      <c r="D206" s="285"/>
      <c r="E206" s="73"/>
      <c r="F206" s="286"/>
      <c r="G206" s="27"/>
      <c r="I206" s="5"/>
      <c r="J206" s="183"/>
    </row>
    <row r="207">
      <c r="D207" s="285"/>
      <c r="E207" s="73"/>
      <c r="F207" s="286"/>
      <c r="G207" s="27"/>
      <c r="I207" s="5"/>
      <c r="J207" s="183"/>
    </row>
    <row r="208">
      <c r="D208" s="285"/>
      <c r="E208" s="73"/>
      <c r="F208" s="286"/>
      <c r="G208" s="27"/>
      <c r="I208" s="5"/>
      <c r="J208" s="183"/>
    </row>
    <row r="209">
      <c r="D209" s="285"/>
      <c r="E209" s="73"/>
      <c r="F209" s="286"/>
      <c r="G209" s="27"/>
      <c r="I209" s="5"/>
      <c r="J209" s="183"/>
    </row>
    <row r="210">
      <c r="D210" s="285"/>
      <c r="E210" s="73"/>
      <c r="F210" s="286"/>
      <c r="G210" s="27"/>
      <c r="I210" s="5"/>
      <c r="J210" s="183"/>
    </row>
    <row r="211">
      <c r="D211" s="285"/>
      <c r="E211" s="73"/>
      <c r="F211" s="286"/>
      <c r="G211" s="27"/>
      <c r="I211" s="5"/>
      <c r="J211" s="183"/>
    </row>
    <row r="212">
      <c r="D212" s="285"/>
      <c r="E212" s="73"/>
      <c r="F212" s="286"/>
      <c r="G212" s="27"/>
      <c r="I212" s="5"/>
      <c r="J212" s="183"/>
    </row>
    <row r="213">
      <c r="D213" s="285"/>
      <c r="E213" s="73"/>
      <c r="F213" s="286"/>
      <c r="G213" s="27"/>
      <c r="I213" s="5"/>
      <c r="J213" s="183"/>
    </row>
    <row r="214">
      <c r="D214" s="285"/>
      <c r="E214" s="73"/>
      <c r="F214" s="286"/>
      <c r="G214" s="27"/>
      <c r="I214" s="5"/>
      <c r="J214" s="183"/>
    </row>
    <row r="215">
      <c r="D215" s="285"/>
      <c r="E215" s="73"/>
      <c r="F215" s="286"/>
      <c r="G215" s="27"/>
      <c r="I215" s="5"/>
      <c r="J215" s="183"/>
    </row>
    <row r="216">
      <c r="D216" s="285"/>
      <c r="E216" s="73"/>
      <c r="F216" s="286"/>
      <c r="G216" s="27"/>
      <c r="I216" s="5"/>
      <c r="J216" s="183"/>
    </row>
    <row r="217">
      <c r="D217" s="285"/>
      <c r="E217" s="73"/>
      <c r="F217" s="286"/>
      <c r="G217" s="27"/>
      <c r="I217" s="5"/>
      <c r="J217" s="183"/>
    </row>
    <row r="218">
      <c r="D218" s="285"/>
      <c r="E218" s="73"/>
      <c r="F218" s="286"/>
      <c r="G218" s="27"/>
      <c r="I218" s="5"/>
      <c r="J218" s="183"/>
    </row>
    <row r="219">
      <c r="D219" s="285"/>
      <c r="E219" s="73"/>
      <c r="F219" s="286"/>
      <c r="G219" s="27"/>
      <c r="I219" s="5"/>
      <c r="J219" s="183"/>
    </row>
    <row r="220">
      <c r="D220" s="285"/>
      <c r="E220" s="73"/>
      <c r="F220" s="286"/>
      <c r="G220" s="27"/>
      <c r="I220" s="5"/>
      <c r="J220" s="183"/>
    </row>
    <row r="221">
      <c r="D221" s="285"/>
      <c r="E221" s="73"/>
      <c r="F221" s="286"/>
      <c r="G221" s="27"/>
      <c r="I221" s="5"/>
      <c r="J221" s="183"/>
    </row>
    <row r="222">
      <c r="D222" s="285"/>
      <c r="E222" s="73"/>
      <c r="F222" s="286"/>
      <c r="G222" s="27"/>
      <c r="I222" s="5"/>
      <c r="J222" s="183"/>
    </row>
    <row r="223">
      <c r="D223" s="285"/>
      <c r="E223" s="73"/>
      <c r="F223" s="286"/>
      <c r="G223" s="27"/>
      <c r="I223" s="5"/>
      <c r="J223" s="183"/>
    </row>
    <row r="224">
      <c r="D224" s="285"/>
      <c r="E224" s="73"/>
      <c r="F224" s="286"/>
      <c r="G224" s="27"/>
      <c r="I224" s="5"/>
      <c r="J224" s="183"/>
    </row>
    <row r="225">
      <c r="D225" s="285"/>
      <c r="E225" s="73"/>
      <c r="F225" s="286"/>
      <c r="G225" s="27"/>
      <c r="I225" s="5"/>
      <c r="J225" s="183"/>
    </row>
    <row r="226">
      <c r="D226" s="285"/>
      <c r="E226" s="73"/>
      <c r="F226" s="286"/>
      <c r="G226" s="27"/>
      <c r="I226" s="5"/>
      <c r="J226" s="183"/>
    </row>
    <row r="227">
      <c r="D227" s="285"/>
      <c r="E227" s="73"/>
      <c r="F227" s="286"/>
      <c r="G227" s="27"/>
      <c r="I227" s="5"/>
      <c r="J227" s="183"/>
    </row>
    <row r="228">
      <c r="D228" s="285"/>
      <c r="E228" s="73"/>
      <c r="F228" s="286"/>
      <c r="G228" s="27"/>
      <c r="I228" s="5"/>
      <c r="J228" s="183"/>
    </row>
    <row r="229">
      <c r="D229" s="285"/>
      <c r="E229" s="73"/>
      <c r="F229" s="286"/>
      <c r="G229" s="27"/>
      <c r="I229" s="5"/>
      <c r="J229" s="183"/>
    </row>
    <row r="230">
      <c r="D230" s="285"/>
      <c r="E230" s="73"/>
      <c r="F230" s="286"/>
      <c r="G230" s="27"/>
      <c r="I230" s="5"/>
      <c r="J230" s="183"/>
    </row>
    <row r="231">
      <c r="D231" s="285"/>
      <c r="E231" s="73"/>
      <c r="F231" s="286"/>
      <c r="G231" s="27"/>
      <c r="I231" s="5"/>
      <c r="J231" s="183"/>
    </row>
    <row r="232">
      <c r="D232" s="285"/>
      <c r="E232" s="73"/>
      <c r="F232" s="286"/>
      <c r="G232" s="27"/>
      <c r="I232" s="5"/>
      <c r="J232" s="183"/>
    </row>
    <row r="233">
      <c r="D233" s="285"/>
      <c r="E233" s="73"/>
      <c r="F233" s="286"/>
      <c r="G233" s="27"/>
      <c r="I233" s="5"/>
      <c r="J233" s="183"/>
    </row>
    <row r="234">
      <c r="D234" s="285"/>
      <c r="E234" s="73"/>
      <c r="F234" s="286"/>
      <c r="G234" s="27"/>
      <c r="I234" s="5"/>
      <c r="J234" s="183"/>
    </row>
    <row r="235">
      <c r="D235" s="285"/>
      <c r="E235" s="73"/>
      <c r="F235" s="286"/>
      <c r="G235" s="27"/>
      <c r="I235" s="5"/>
      <c r="J235" s="183"/>
    </row>
    <row r="236">
      <c r="D236" s="285"/>
      <c r="E236" s="73"/>
      <c r="F236" s="286"/>
      <c r="G236" s="27"/>
      <c r="I236" s="5"/>
      <c r="J236" s="183"/>
    </row>
    <row r="237">
      <c r="D237" s="285"/>
      <c r="E237" s="73"/>
      <c r="F237" s="286"/>
      <c r="G237" s="27"/>
      <c r="I237" s="5"/>
      <c r="J237" s="183"/>
    </row>
    <row r="238">
      <c r="D238" s="285"/>
      <c r="E238" s="73"/>
      <c r="F238" s="286"/>
      <c r="G238" s="27"/>
      <c r="I238" s="5"/>
      <c r="J238" s="183"/>
    </row>
    <row r="239">
      <c r="D239" s="285"/>
      <c r="E239" s="73"/>
      <c r="F239" s="286"/>
      <c r="G239" s="27"/>
      <c r="I239" s="5"/>
      <c r="J239" s="183"/>
    </row>
    <row r="240">
      <c r="D240" s="285"/>
      <c r="E240" s="73"/>
      <c r="F240" s="286"/>
      <c r="G240" s="27"/>
      <c r="I240" s="5"/>
      <c r="J240" s="183"/>
    </row>
    <row r="241">
      <c r="D241" s="285"/>
      <c r="E241" s="73"/>
      <c r="F241" s="286"/>
      <c r="G241" s="27"/>
      <c r="I241" s="5"/>
      <c r="J241" s="183"/>
    </row>
    <row r="242">
      <c r="D242" s="285"/>
      <c r="E242" s="73"/>
      <c r="F242" s="286"/>
      <c r="G242" s="27"/>
      <c r="I242" s="5"/>
      <c r="J242" s="183"/>
    </row>
    <row r="243">
      <c r="D243" s="285"/>
      <c r="E243" s="73"/>
      <c r="F243" s="286"/>
      <c r="G243" s="27"/>
      <c r="I243" s="5"/>
      <c r="J243" s="183"/>
    </row>
    <row r="244">
      <c r="D244" s="285"/>
      <c r="E244" s="73"/>
      <c r="F244" s="286"/>
      <c r="G244" s="27"/>
      <c r="I244" s="5"/>
      <c r="J244" s="183"/>
    </row>
    <row r="245">
      <c r="D245" s="285"/>
      <c r="E245" s="73"/>
      <c r="F245" s="286"/>
      <c r="G245" s="27"/>
      <c r="I245" s="5"/>
      <c r="J245" s="183"/>
    </row>
    <row r="246">
      <c r="D246" s="285"/>
      <c r="E246" s="73"/>
      <c r="F246" s="286"/>
      <c r="G246" s="27"/>
      <c r="I246" s="5"/>
      <c r="J246" s="183"/>
    </row>
    <row r="247">
      <c r="D247" s="285"/>
      <c r="E247" s="73"/>
      <c r="F247" s="286"/>
      <c r="G247" s="27"/>
      <c r="I247" s="5"/>
      <c r="J247" s="183"/>
    </row>
    <row r="248">
      <c r="D248" s="285"/>
      <c r="E248" s="73"/>
      <c r="F248" s="286"/>
      <c r="G248" s="27"/>
      <c r="I248" s="5"/>
      <c r="J248" s="183"/>
    </row>
    <row r="249">
      <c r="D249" s="285"/>
      <c r="E249" s="73"/>
      <c r="F249" s="286"/>
      <c r="G249" s="27"/>
      <c r="I249" s="5"/>
      <c r="J249" s="183"/>
    </row>
    <row r="250">
      <c r="D250" s="285"/>
      <c r="E250" s="73"/>
      <c r="F250" s="286"/>
      <c r="G250" s="27"/>
      <c r="I250" s="5"/>
      <c r="J250" s="183"/>
    </row>
    <row r="251">
      <c r="D251" s="285"/>
      <c r="E251" s="73"/>
      <c r="F251" s="286"/>
      <c r="G251" s="27"/>
      <c r="I251" s="5"/>
      <c r="J251" s="183"/>
    </row>
    <row r="252">
      <c r="D252" s="285"/>
      <c r="E252" s="73"/>
      <c r="F252" s="286"/>
      <c r="G252" s="27"/>
      <c r="I252" s="5"/>
      <c r="J252" s="183"/>
    </row>
    <row r="253">
      <c r="D253" s="285"/>
      <c r="E253" s="73"/>
      <c r="F253" s="286"/>
      <c r="G253" s="27"/>
      <c r="I253" s="5"/>
      <c r="J253" s="183"/>
    </row>
    <row r="254">
      <c r="D254" s="285"/>
      <c r="E254" s="73"/>
      <c r="F254" s="286"/>
      <c r="G254" s="27"/>
      <c r="I254" s="5"/>
      <c r="J254" s="183"/>
    </row>
    <row r="255">
      <c r="D255" s="285"/>
      <c r="E255" s="73"/>
      <c r="F255" s="286"/>
      <c r="G255" s="27"/>
      <c r="I255" s="5"/>
      <c r="J255" s="183"/>
    </row>
    <row r="256">
      <c r="D256" s="285"/>
      <c r="E256" s="73"/>
      <c r="F256" s="286"/>
      <c r="G256" s="27"/>
      <c r="I256" s="5"/>
      <c r="J256" s="183"/>
    </row>
    <row r="257">
      <c r="D257" s="285"/>
      <c r="E257" s="73"/>
      <c r="F257" s="286"/>
      <c r="G257" s="27"/>
      <c r="I257" s="5"/>
      <c r="J257" s="183"/>
    </row>
    <row r="258">
      <c r="D258" s="285"/>
      <c r="E258" s="73"/>
      <c r="F258" s="286"/>
      <c r="G258" s="27"/>
      <c r="I258" s="5"/>
      <c r="J258" s="183"/>
    </row>
    <row r="259">
      <c r="D259" s="285"/>
      <c r="E259" s="73"/>
      <c r="F259" s="286"/>
      <c r="G259" s="27"/>
      <c r="I259" s="5"/>
      <c r="J259" s="183"/>
    </row>
    <row r="260">
      <c r="D260" s="285"/>
      <c r="E260" s="73"/>
      <c r="F260" s="286"/>
      <c r="G260" s="27"/>
      <c r="I260" s="5"/>
      <c r="J260" s="183"/>
    </row>
    <row r="261">
      <c r="D261" s="285"/>
      <c r="E261" s="73"/>
      <c r="F261" s="286"/>
      <c r="G261" s="27"/>
      <c r="I261" s="5"/>
      <c r="J261" s="183"/>
    </row>
    <row r="262">
      <c r="D262" s="285"/>
      <c r="E262" s="73"/>
      <c r="F262" s="286"/>
      <c r="G262" s="27"/>
      <c r="I262" s="5"/>
      <c r="J262" s="183"/>
    </row>
    <row r="263">
      <c r="D263" s="285"/>
      <c r="E263" s="73"/>
      <c r="F263" s="286"/>
      <c r="G263" s="27"/>
      <c r="I263" s="5"/>
      <c r="J263" s="183"/>
    </row>
    <row r="264">
      <c r="D264" s="285"/>
      <c r="E264" s="73"/>
      <c r="F264" s="286"/>
      <c r="G264" s="27"/>
      <c r="I264" s="5"/>
      <c r="J264" s="183"/>
    </row>
    <row r="265">
      <c r="D265" s="285"/>
      <c r="E265" s="73"/>
      <c r="F265" s="286"/>
      <c r="G265" s="27"/>
      <c r="I265" s="5"/>
      <c r="J265" s="183"/>
    </row>
    <row r="266">
      <c r="D266" s="285"/>
      <c r="E266" s="73"/>
      <c r="F266" s="286"/>
      <c r="G266" s="27"/>
      <c r="I266" s="5"/>
      <c r="J266" s="183"/>
    </row>
    <row r="267">
      <c r="D267" s="285"/>
      <c r="E267" s="73"/>
      <c r="F267" s="286"/>
      <c r="G267" s="27"/>
      <c r="I267" s="5"/>
      <c r="J267" s="183"/>
    </row>
    <row r="268">
      <c r="D268" s="285"/>
      <c r="E268" s="73"/>
      <c r="F268" s="286"/>
      <c r="G268" s="27"/>
      <c r="I268" s="5"/>
      <c r="J268" s="183"/>
    </row>
    <row r="269">
      <c r="D269" s="285"/>
      <c r="E269" s="73"/>
      <c r="F269" s="286"/>
      <c r="G269" s="27"/>
      <c r="I269" s="5"/>
      <c r="J269" s="183"/>
    </row>
    <row r="270">
      <c r="D270" s="285"/>
      <c r="E270" s="73"/>
      <c r="F270" s="286"/>
      <c r="G270" s="27"/>
      <c r="I270" s="5"/>
      <c r="J270" s="183"/>
    </row>
    <row r="271">
      <c r="D271" s="285"/>
      <c r="E271" s="73"/>
      <c r="F271" s="286"/>
      <c r="G271" s="27"/>
      <c r="I271" s="5"/>
      <c r="J271" s="183"/>
    </row>
    <row r="272">
      <c r="D272" s="285"/>
      <c r="E272" s="73"/>
      <c r="F272" s="286"/>
      <c r="G272" s="27"/>
      <c r="I272" s="5"/>
      <c r="J272" s="183"/>
    </row>
    <row r="273">
      <c r="D273" s="285"/>
      <c r="E273" s="73"/>
      <c r="F273" s="286"/>
      <c r="G273" s="27"/>
      <c r="I273" s="5"/>
      <c r="J273" s="183"/>
    </row>
    <row r="274">
      <c r="D274" s="285"/>
      <c r="E274" s="73"/>
      <c r="F274" s="286"/>
      <c r="G274" s="27"/>
      <c r="I274" s="5"/>
      <c r="J274" s="183"/>
    </row>
    <row r="275">
      <c r="D275" s="285"/>
      <c r="E275" s="73"/>
      <c r="F275" s="286"/>
      <c r="G275" s="27"/>
      <c r="I275" s="5"/>
      <c r="J275" s="183"/>
    </row>
    <row r="276">
      <c r="D276" s="285"/>
      <c r="E276" s="73"/>
      <c r="F276" s="286"/>
      <c r="G276" s="27"/>
      <c r="I276" s="5"/>
      <c r="J276" s="183"/>
    </row>
    <row r="277">
      <c r="D277" s="285"/>
      <c r="E277" s="73"/>
      <c r="F277" s="286"/>
      <c r="G277" s="27"/>
      <c r="I277" s="5"/>
      <c r="J277" s="183"/>
    </row>
    <row r="278">
      <c r="D278" s="285"/>
      <c r="E278" s="73"/>
      <c r="F278" s="286"/>
      <c r="G278" s="27"/>
      <c r="I278" s="5"/>
      <c r="J278" s="183"/>
    </row>
    <row r="279">
      <c r="D279" s="285"/>
      <c r="E279" s="73"/>
      <c r="F279" s="286"/>
      <c r="G279" s="27"/>
      <c r="I279" s="5"/>
      <c r="J279" s="183"/>
    </row>
    <row r="280">
      <c r="D280" s="285"/>
      <c r="E280" s="73"/>
      <c r="F280" s="286"/>
      <c r="G280" s="27"/>
      <c r="I280" s="5"/>
      <c r="J280" s="183"/>
    </row>
    <row r="281">
      <c r="D281" s="285"/>
      <c r="E281" s="73"/>
      <c r="F281" s="286"/>
      <c r="G281" s="27"/>
      <c r="I281" s="5"/>
      <c r="J281" s="183"/>
    </row>
    <row r="282">
      <c r="D282" s="285"/>
      <c r="E282" s="73"/>
      <c r="F282" s="286"/>
      <c r="G282" s="27"/>
      <c r="I282" s="5"/>
      <c r="J282" s="183"/>
    </row>
    <row r="283">
      <c r="D283" s="285"/>
      <c r="E283" s="73"/>
      <c r="F283" s="286"/>
      <c r="G283" s="27"/>
      <c r="I283" s="5"/>
      <c r="J283" s="183"/>
    </row>
    <row r="284">
      <c r="D284" s="285"/>
      <c r="E284" s="73"/>
      <c r="F284" s="286"/>
      <c r="G284" s="27"/>
      <c r="I284" s="5"/>
      <c r="J284" s="183"/>
    </row>
    <row r="285">
      <c r="D285" s="285"/>
      <c r="E285" s="73"/>
      <c r="F285" s="286"/>
      <c r="G285" s="27"/>
      <c r="I285" s="5"/>
      <c r="J285" s="183"/>
    </row>
    <row r="286">
      <c r="D286" s="285"/>
      <c r="E286" s="73"/>
      <c r="F286" s="286"/>
      <c r="G286" s="27"/>
      <c r="I286" s="5"/>
      <c r="J286" s="183"/>
    </row>
    <row r="287">
      <c r="D287" s="285"/>
      <c r="E287" s="73"/>
      <c r="F287" s="286"/>
      <c r="G287" s="27"/>
      <c r="I287" s="5"/>
      <c r="J287" s="183"/>
    </row>
    <row r="288">
      <c r="D288" s="285"/>
      <c r="E288" s="73"/>
      <c r="F288" s="286"/>
      <c r="G288" s="27"/>
      <c r="I288" s="5"/>
      <c r="J288" s="183"/>
    </row>
    <row r="289">
      <c r="D289" s="285"/>
      <c r="E289" s="73"/>
      <c r="F289" s="286"/>
      <c r="G289" s="27"/>
      <c r="I289" s="5"/>
      <c r="J289" s="183"/>
    </row>
    <row r="290">
      <c r="D290" s="285"/>
      <c r="E290" s="73"/>
      <c r="F290" s="286"/>
      <c r="G290" s="27"/>
      <c r="I290" s="5"/>
      <c r="J290" s="183"/>
    </row>
    <row r="291">
      <c r="D291" s="285"/>
      <c r="E291" s="73"/>
      <c r="F291" s="286"/>
      <c r="G291" s="27"/>
      <c r="I291" s="5"/>
      <c r="J291" s="183"/>
    </row>
    <row r="292">
      <c r="D292" s="285"/>
      <c r="E292" s="73"/>
      <c r="F292" s="286"/>
      <c r="G292" s="27"/>
      <c r="I292" s="5"/>
      <c r="J292" s="183"/>
    </row>
    <row r="293">
      <c r="D293" s="285"/>
      <c r="E293" s="73"/>
      <c r="F293" s="286"/>
      <c r="G293" s="27"/>
      <c r="I293" s="5"/>
      <c r="J293" s="183"/>
    </row>
    <row r="294">
      <c r="D294" s="285"/>
      <c r="E294" s="73"/>
      <c r="F294" s="286"/>
      <c r="G294" s="27"/>
      <c r="I294" s="5"/>
      <c r="J294" s="183"/>
    </row>
    <row r="295">
      <c r="D295" s="285"/>
      <c r="E295" s="73"/>
      <c r="F295" s="286"/>
      <c r="G295" s="27"/>
      <c r="I295" s="5"/>
      <c r="J295" s="183"/>
    </row>
    <row r="296">
      <c r="D296" s="285"/>
      <c r="E296" s="73"/>
      <c r="F296" s="286"/>
      <c r="G296" s="27"/>
      <c r="I296" s="5"/>
      <c r="J296" s="183"/>
    </row>
    <row r="297">
      <c r="D297" s="285"/>
      <c r="E297" s="73"/>
      <c r="F297" s="286"/>
      <c r="G297" s="27"/>
      <c r="I297" s="5"/>
      <c r="J297" s="183"/>
    </row>
    <row r="298">
      <c r="D298" s="285"/>
      <c r="E298" s="73"/>
      <c r="F298" s="286"/>
      <c r="G298" s="27"/>
      <c r="I298" s="5"/>
      <c r="J298" s="183"/>
    </row>
    <row r="299">
      <c r="D299" s="285"/>
      <c r="E299" s="73"/>
      <c r="F299" s="286"/>
      <c r="G299" s="27"/>
      <c r="I299" s="5"/>
      <c r="J299" s="183"/>
    </row>
    <row r="300">
      <c r="D300" s="285"/>
      <c r="E300" s="73"/>
      <c r="F300" s="286"/>
      <c r="G300" s="27"/>
      <c r="I300" s="5"/>
      <c r="J300" s="183"/>
    </row>
    <row r="301">
      <c r="D301" s="285"/>
      <c r="E301" s="73"/>
      <c r="F301" s="286"/>
      <c r="G301" s="27"/>
      <c r="I301" s="5"/>
      <c r="J301" s="183"/>
    </row>
    <row r="302">
      <c r="D302" s="285"/>
      <c r="E302" s="73"/>
      <c r="F302" s="286"/>
      <c r="G302" s="27"/>
      <c r="I302" s="5"/>
      <c r="J302" s="183"/>
    </row>
    <row r="303">
      <c r="D303" s="285"/>
      <c r="E303" s="73"/>
      <c r="F303" s="286"/>
      <c r="G303" s="27"/>
      <c r="I303" s="5"/>
      <c r="J303" s="183"/>
    </row>
    <row r="304">
      <c r="D304" s="285"/>
      <c r="E304" s="73"/>
      <c r="F304" s="286"/>
      <c r="G304" s="27"/>
      <c r="I304" s="5"/>
      <c r="J304" s="183"/>
    </row>
    <row r="305">
      <c r="D305" s="285"/>
      <c r="E305" s="73"/>
      <c r="F305" s="286"/>
      <c r="G305" s="27"/>
      <c r="I305" s="5"/>
      <c r="J305" s="183"/>
    </row>
    <row r="306">
      <c r="D306" s="285"/>
      <c r="E306" s="73"/>
      <c r="F306" s="286"/>
      <c r="G306" s="27"/>
      <c r="I306" s="5"/>
      <c r="J306" s="183"/>
    </row>
    <row r="307">
      <c r="D307" s="285"/>
      <c r="E307" s="73"/>
      <c r="F307" s="286"/>
      <c r="G307" s="27"/>
      <c r="I307" s="5"/>
      <c r="J307" s="183"/>
    </row>
    <row r="308">
      <c r="D308" s="285"/>
      <c r="E308" s="73"/>
      <c r="F308" s="286"/>
      <c r="G308" s="27"/>
      <c r="I308" s="5"/>
      <c r="J308" s="183"/>
    </row>
    <row r="309">
      <c r="D309" s="285"/>
      <c r="E309" s="73"/>
      <c r="F309" s="286"/>
      <c r="G309" s="27"/>
      <c r="I309" s="5"/>
      <c r="J309" s="183"/>
    </row>
    <row r="310">
      <c r="D310" s="285"/>
      <c r="E310" s="73"/>
      <c r="F310" s="286"/>
      <c r="G310" s="27"/>
      <c r="I310" s="5"/>
      <c r="J310" s="183"/>
    </row>
    <row r="311">
      <c r="D311" s="285"/>
      <c r="E311" s="73"/>
      <c r="F311" s="286"/>
      <c r="G311" s="27"/>
      <c r="I311" s="5"/>
      <c r="J311" s="183"/>
    </row>
    <row r="312">
      <c r="D312" s="285"/>
      <c r="E312" s="73"/>
      <c r="F312" s="286"/>
      <c r="G312" s="27"/>
      <c r="I312" s="5"/>
      <c r="J312" s="183"/>
    </row>
    <row r="313">
      <c r="D313" s="285"/>
      <c r="E313" s="73"/>
      <c r="F313" s="286"/>
      <c r="G313" s="27"/>
      <c r="I313" s="5"/>
      <c r="J313" s="183"/>
    </row>
    <row r="314">
      <c r="D314" s="285"/>
      <c r="E314" s="73"/>
      <c r="F314" s="286"/>
      <c r="G314" s="27"/>
      <c r="I314" s="5"/>
      <c r="J314" s="183"/>
    </row>
    <row r="315">
      <c r="D315" s="285"/>
      <c r="E315" s="73"/>
      <c r="F315" s="286"/>
      <c r="G315" s="27"/>
      <c r="I315" s="5"/>
      <c r="J315" s="183"/>
    </row>
    <row r="316">
      <c r="D316" s="285"/>
      <c r="E316" s="73"/>
      <c r="F316" s="286"/>
      <c r="G316" s="27"/>
      <c r="I316" s="5"/>
      <c r="J316" s="183"/>
    </row>
    <row r="317">
      <c r="D317" s="285"/>
      <c r="E317" s="73"/>
      <c r="F317" s="286"/>
      <c r="G317" s="27"/>
      <c r="I317" s="5"/>
      <c r="J317" s="183"/>
    </row>
    <row r="318">
      <c r="D318" s="285"/>
      <c r="E318" s="73"/>
      <c r="F318" s="286"/>
      <c r="G318" s="27"/>
      <c r="I318" s="5"/>
      <c r="J318" s="183"/>
    </row>
    <row r="319">
      <c r="D319" s="285"/>
      <c r="E319" s="73"/>
      <c r="F319" s="286"/>
      <c r="G319" s="27"/>
      <c r="I319" s="5"/>
      <c r="J319" s="183"/>
    </row>
    <row r="320">
      <c r="D320" s="285"/>
      <c r="E320" s="73"/>
      <c r="F320" s="286"/>
      <c r="G320" s="27"/>
      <c r="I320" s="5"/>
      <c r="J320" s="183"/>
    </row>
    <row r="321">
      <c r="D321" s="285"/>
      <c r="E321" s="73"/>
      <c r="F321" s="286"/>
      <c r="G321" s="27"/>
      <c r="I321" s="5"/>
      <c r="J321" s="183"/>
    </row>
    <row r="322">
      <c r="D322" s="285"/>
      <c r="E322" s="73"/>
      <c r="F322" s="286"/>
      <c r="G322" s="27"/>
      <c r="I322" s="5"/>
      <c r="J322" s="183"/>
    </row>
    <row r="323">
      <c r="D323" s="285"/>
      <c r="E323" s="73"/>
      <c r="F323" s="286"/>
      <c r="G323" s="27"/>
      <c r="I323" s="5"/>
      <c r="J323" s="183"/>
    </row>
    <row r="324">
      <c r="D324" s="285"/>
      <c r="E324" s="73"/>
      <c r="F324" s="286"/>
      <c r="G324" s="27"/>
      <c r="I324" s="5"/>
      <c r="J324" s="183"/>
    </row>
    <row r="325">
      <c r="D325" s="285"/>
      <c r="E325" s="73"/>
      <c r="F325" s="286"/>
      <c r="G325" s="27"/>
      <c r="I325" s="5"/>
      <c r="J325" s="183"/>
    </row>
    <row r="326">
      <c r="D326" s="285"/>
      <c r="E326" s="73"/>
      <c r="F326" s="286"/>
      <c r="G326" s="27"/>
      <c r="I326" s="5"/>
      <c r="J326" s="183"/>
    </row>
    <row r="327">
      <c r="D327" s="285"/>
      <c r="E327" s="73"/>
      <c r="F327" s="286"/>
      <c r="G327" s="27"/>
      <c r="I327" s="5"/>
      <c r="J327" s="183"/>
    </row>
    <row r="328">
      <c r="D328" s="285"/>
      <c r="E328" s="73"/>
      <c r="F328" s="286"/>
      <c r="G328" s="27"/>
      <c r="I328" s="5"/>
      <c r="J328" s="183"/>
    </row>
    <row r="329">
      <c r="D329" s="285"/>
      <c r="E329" s="73"/>
      <c r="F329" s="286"/>
      <c r="G329" s="27"/>
      <c r="I329" s="5"/>
      <c r="J329" s="183"/>
    </row>
    <row r="330">
      <c r="D330" s="285"/>
      <c r="E330" s="73"/>
      <c r="F330" s="286"/>
      <c r="G330" s="27"/>
      <c r="I330" s="5"/>
      <c r="J330" s="183"/>
    </row>
    <row r="331">
      <c r="D331" s="285"/>
      <c r="E331" s="73"/>
      <c r="F331" s="286"/>
      <c r="G331" s="27"/>
      <c r="I331" s="5"/>
      <c r="J331" s="183"/>
    </row>
    <row r="332">
      <c r="D332" s="285"/>
      <c r="E332" s="73"/>
      <c r="F332" s="286"/>
      <c r="G332" s="27"/>
      <c r="I332" s="5"/>
      <c r="J332" s="183"/>
    </row>
    <row r="333">
      <c r="D333" s="285"/>
      <c r="E333" s="73"/>
      <c r="F333" s="286"/>
      <c r="G333" s="27"/>
      <c r="I333" s="5"/>
      <c r="J333" s="183"/>
    </row>
    <row r="334">
      <c r="D334" s="285"/>
      <c r="E334" s="73"/>
      <c r="F334" s="286"/>
      <c r="G334" s="27"/>
      <c r="I334" s="5"/>
      <c r="J334" s="183"/>
    </row>
    <row r="335">
      <c r="D335" s="285"/>
      <c r="E335" s="73"/>
      <c r="F335" s="286"/>
      <c r="G335" s="27"/>
      <c r="I335" s="5"/>
      <c r="J335" s="183"/>
    </row>
    <row r="336">
      <c r="D336" s="285"/>
      <c r="E336" s="73"/>
      <c r="F336" s="286"/>
      <c r="G336" s="27"/>
      <c r="I336" s="5"/>
      <c r="J336" s="183"/>
    </row>
    <row r="337">
      <c r="D337" s="285"/>
      <c r="E337" s="73"/>
      <c r="F337" s="286"/>
      <c r="G337" s="27"/>
      <c r="I337" s="5"/>
      <c r="J337" s="183"/>
    </row>
    <row r="338">
      <c r="D338" s="285"/>
      <c r="E338" s="73"/>
      <c r="F338" s="286"/>
      <c r="G338" s="27"/>
      <c r="I338" s="5"/>
      <c r="J338" s="183"/>
    </row>
    <row r="339">
      <c r="D339" s="285"/>
      <c r="E339" s="73"/>
      <c r="F339" s="286"/>
      <c r="G339" s="27"/>
      <c r="I339" s="5"/>
      <c r="J339" s="183"/>
    </row>
    <row r="340">
      <c r="D340" s="285"/>
      <c r="E340" s="73"/>
      <c r="F340" s="286"/>
      <c r="G340" s="27"/>
      <c r="I340" s="5"/>
      <c r="J340" s="183"/>
    </row>
    <row r="341">
      <c r="D341" s="285"/>
      <c r="E341" s="73"/>
      <c r="F341" s="286"/>
      <c r="G341" s="27"/>
      <c r="I341" s="5"/>
      <c r="J341" s="183"/>
    </row>
    <row r="342">
      <c r="D342" s="285"/>
      <c r="E342" s="73"/>
      <c r="F342" s="286"/>
      <c r="G342" s="27"/>
      <c r="I342" s="5"/>
      <c r="J342" s="183"/>
    </row>
    <row r="343">
      <c r="D343" s="285"/>
      <c r="E343" s="73"/>
      <c r="F343" s="286"/>
      <c r="G343" s="27"/>
      <c r="I343" s="5"/>
      <c r="J343" s="183"/>
    </row>
    <row r="344">
      <c r="D344" s="285"/>
      <c r="E344" s="73"/>
      <c r="F344" s="286"/>
      <c r="G344" s="27"/>
      <c r="I344" s="5"/>
      <c r="J344" s="183"/>
    </row>
    <row r="345">
      <c r="D345" s="285"/>
      <c r="E345" s="73"/>
      <c r="F345" s="286"/>
      <c r="G345" s="27"/>
      <c r="I345" s="5"/>
      <c r="J345" s="183"/>
    </row>
    <row r="346">
      <c r="D346" s="285"/>
      <c r="E346" s="73"/>
      <c r="F346" s="286"/>
      <c r="G346" s="27"/>
      <c r="I346" s="5"/>
      <c r="J346" s="183"/>
    </row>
    <row r="347">
      <c r="D347" s="285"/>
      <c r="E347" s="73"/>
      <c r="F347" s="286"/>
      <c r="G347" s="27"/>
      <c r="I347" s="5"/>
      <c r="J347" s="183"/>
    </row>
    <row r="348">
      <c r="D348" s="285"/>
      <c r="E348" s="73"/>
      <c r="F348" s="286"/>
      <c r="G348" s="27"/>
      <c r="I348" s="5"/>
      <c r="J348" s="183"/>
    </row>
    <row r="349">
      <c r="D349" s="285"/>
      <c r="E349" s="73"/>
      <c r="F349" s="286"/>
      <c r="G349" s="27"/>
      <c r="I349" s="5"/>
      <c r="J349" s="183"/>
    </row>
    <row r="350">
      <c r="D350" s="285"/>
      <c r="E350" s="73"/>
      <c r="F350" s="286"/>
      <c r="G350" s="27"/>
      <c r="I350" s="5"/>
      <c r="J350" s="183"/>
    </row>
    <row r="351">
      <c r="D351" s="285"/>
      <c r="E351" s="73"/>
      <c r="F351" s="286"/>
      <c r="G351" s="27"/>
      <c r="I351" s="5"/>
      <c r="J351" s="183"/>
    </row>
    <row r="352">
      <c r="D352" s="285"/>
      <c r="E352" s="73"/>
      <c r="F352" s="286"/>
      <c r="G352" s="27"/>
      <c r="I352" s="5"/>
      <c r="J352" s="183"/>
    </row>
    <row r="353">
      <c r="D353" s="285"/>
      <c r="E353" s="73"/>
      <c r="F353" s="286"/>
      <c r="G353" s="27"/>
      <c r="I353" s="5"/>
      <c r="J353" s="183"/>
    </row>
    <row r="354">
      <c r="D354" s="285"/>
      <c r="E354" s="73"/>
      <c r="F354" s="286"/>
      <c r="G354" s="27"/>
      <c r="I354" s="5"/>
      <c r="J354" s="183"/>
    </row>
    <row r="355">
      <c r="D355" s="285"/>
      <c r="E355" s="73"/>
      <c r="F355" s="286"/>
      <c r="G355" s="27"/>
      <c r="I355" s="5"/>
      <c r="J355" s="183"/>
    </row>
    <row r="356">
      <c r="D356" s="285"/>
      <c r="E356" s="73"/>
      <c r="F356" s="286"/>
      <c r="G356" s="27"/>
      <c r="I356" s="5"/>
      <c r="J356" s="183"/>
    </row>
    <row r="357">
      <c r="D357" s="285"/>
      <c r="E357" s="73"/>
      <c r="F357" s="286"/>
      <c r="G357" s="27"/>
      <c r="I357" s="5"/>
      <c r="J357" s="183"/>
    </row>
    <row r="358">
      <c r="D358" s="285"/>
      <c r="E358" s="73"/>
      <c r="F358" s="286"/>
      <c r="G358" s="27"/>
      <c r="I358" s="5"/>
      <c r="J358" s="183"/>
    </row>
    <row r="359">
      <c r="D359" s="285"/>
      <c r="E359" s="73"/>
      <c r="F359" s="286"/>
      <c r="G359" s="27"/>
      <c r="I359" s="5"/>
      <c r="J359" s="183"/>
    </row>
    <row r="360">
      <c r="D360" s="285"/>
      <c r="E360" s="73"/>
      <c r="F360" s="286"/>
      <c r="G360" s="27"/>
      <c r="I360" s="5"/>
      <c r="J360" s="183"/>
    </row>
    <row r="361">
      <c r="D361" s="285"/>
      <c r="E361" s="73"/>
      <c r="F361" s="286"/>
      <c r="G361" s="27"/>
      <c r="I361" s="5"/>
      <c r="J361" s="183"/>
    </row>
    <row r="362">
      <c r="D362" s="285"/>
      <c r="E362" s="73"/>
      <c r="F362" s="286"/>
      <c r="G362" s="27"/>
      <c r="I362" s="5"/>
      <c r="J362" s="183"/>
    </row>
    <row r="363">
      <c r="D363" s="285"/>
      <c r="E363" s="73"/>
      <c r="F363" s="286"/>
      <c r="G363" s="27"/>
      <c r="I363" s="5"/>
      <c r="J363" s="183"/>
    </row>
    <row r="364">
      <c r="D364" s="285"/>
      <c r="E364" s="73"/>
      <c r="F364" s="286"/>
      <c r="G364" s="27"/>
      <c r="I364" s="5"/>
      <c r="J364" s="183"/>
    </row>
    <row r="365">
      <c r="D365" s="285"/>
      <c r="E365" s="73"/>
      <c r="F365" s="286"/>
      <c r="G365" s="27"/>
      <c r="I365" s="5"/>
      <c r="J365" s="183"/>
    </row>
    <row r="366">
      <c r="D366" s="285"/>
      <c r="E366" s="73"/>
      <c r="F366" s="286"/>
      <c r="G366" s="27"/>
      <c r="I366" s="5"/>
      <c r="J366" s="183"/>
    </row>
    <row r="367">
      <c r="D367" s="285"/>
      <c r="E367" s="73"/>
      <c r="F367" s="286"/>
      <c r="G367" s="27"/>
      <c r="I367" s="5"/>
      <c r="J367" s="183"/>
    </row>
    <row r="368">
      <c r="D368" s="285"/>
      <c r="E368" s="73"/>
      <c r="F368" s="286"/>
      <c r="G368" s="27"/>
      <c r="I368" s="5"/>
      <c r="J368" s="183"/>
    </row>
    <row r="369">
      <c r="D369" s="285"/>
      <c r="E369" s="73"/>
      <c r="F369" s="286"/>
      <c r="G369" s="27"/>
      <c r="I369" s="5"/>
      <c r="J369" s="183"/>
    </row>
    <row r="370">
      <c r="D370" s="285"/>
      <c r="E370" s="73"/>
      <c r="F370" s="286"/>
      <c r="G370" s="27"/>
      <c r="I370" s="5"/>
      <c r="J370" s="183"/>
    </row>
    <row r="371">
      <c r="D371" s="285"/>
      <c r="E371" s="73"/>
      <c r="F371" s="286"/>
      <c r="G371" s="27"/>
      <c r="I371" s="5"/>
      <c r="J371" s="183"/>
    </row>
    <row r="372">
      <c r="D372" s="285"/>
      <c r="E372" s="73"/>
      <c r="F372" s="286"/>
      <c r="G372" s="27"/>
      <c r="I372" s="5"/>
      <c r="J372" s="183"/>
    </row>
    <row r="373">
      <c r="D373" s="285"/>
      <c r="E373" s="73"/>
      <c r="F373" s="286"/>
      <c r="G373" s="27"/>
      <c r="I373" s="5"/>
      <c r="J373" s="183"/>
    </row>
    <row r="374">
      <c r="D374" s="285"/>
      <c r="E374" s="73"/>
      <c r="F374" s="286"/>
      <c r="G374" s="27"/>
      <c r="I374" s="5"/>
      <c r="J374" s="183"/>
    </row>
    <row r="375">
      <c r="D375" s="285"/>
      <c r="E375" s="73"/>
      <c r="F375" s="286"/>
      <c r="G375" s="27"/>
      <c r="I375" s="5"/>
      <c r="J375" s="183"/>
    </row>
    <row r="376">
      <c r="D376" s="285"/>
      <c r="E376" s="73"/>
      <c r="F376" s="286"/>
      <c r="G376" s="27"/>
      <c r="I376" s="5"/>
      <c r="J376" s="183"/>
    </row>
    <row r="377">
      <c r="D377" s="285"/>
      <c r="E377" s="73"/>
      <c r="F377" s="286"/>
      <c r="G377" s="27"/>
      <c r="I377" s="5"/>
      <c r="J377" s="183"/>
    </row>
    <row r="378">
      <c r="D378" s="285"/>
      <c r="E378" s="73"/>
      <c r="F378" s="286"/>
      <c r="G378" s="27"/>
      <c r="I378" s="5"/>
      <c r="J378" s="183"/>
    </row>
    <row r="379">
      <c r="D379" s="285"/>
      <c r="E379" s="73"/>
      <c r="F379" s="286"/>
      <c r="G379" s="27"/>
      <c r="I379" s="5"/>
      <c r="J379" s="183"/>
    </row>
    <row r="380">
      <c r="D380" s="285"/>
      <c r="E380" s="73"/>
      <c r="F380" s="286"/>
      <c r="G380" s="27"/>
      <c r="I380" s="5"/>
      <c r="J380" s="183"/>
    </row>
    <row r="381">
      <c r="D381" s="285"/>
      <c r="E381" s="73"/>
      <c r="F381" s="286"/>
      <c r="G381" s="27"/>
      <c r="I381" s="5"/>
      <c r="J381" s="183"/>
    </row>
    <row r="382">
      <c r="D382" s="285"/>
      <c r="E382" s="73"/>
      <c r="F382" s="286"/>
      <c r="G382" s="27"/>
      <c r="I382" s="5"/>
      <c r="J382" s="183"/>
    </row>
    <row r="383">
      <c r="D383" s="285"/>
      <c r="E383" s="73"/>
      <c r="F383" s="286"/>
      <c r="G383" s="27"/>
      <c r="I383" s="5"/>
      <c r="J383" s="183"/>
    </row>
    <row r="384">
      <c r="D384" s="285"/>
      <c r="E384" s="73"/>
      <c r="F384" s="286"/>
      <c r="G384" s="27"/>
      <c r="I384" s="5"/>
      <c r="J384" s="183"/>
    </row>
    <row r="385">
      <c r="D385" s="285"/>
      <c r="E385" s="73"/>
      <c r="F385" s="286"/>
      <c r="G385" s="27"/>
      <c r="I385" s="5"/>
      <c r="J385" s="183"/>
    </row>
    <row r="386">
      <c r="D386" s="285"/>
      <c r="E386" s="73"/>
      <c r="F386" s="286"/>
      <c r="G386" s="27"/>
      <c r="I386" s="5"/>
      <c r="J386" s="183"/>
    </row>
    <row r="387">
      <c r="D387" s="285"/>
      <c r="E387" s="73"/>
      <c r="F387" s="286"/>
      <c r="G387" s="27"/>
      <c r="I387" s="5"/>
      <c r="J387" s="183"/>
    </row>
    <row r="388">
      <c r="D388" s="285"/>
      <c r="E388" s="73"/>
      <c r="F388" s="286"/>
      <c r="G388" s="27"/>
      <c r="I388" s="5"/>
      <c r="J388" s="183"/>
    </row>
    <row r="389">
      <c r="D389" s="285"/>
      <c r="E389" s="73"/>
      <c r="F389" s="286"/>
      <c r="G389" s="27"/>
      <c r="I389" s="5"/>
      <c r="J389" s="183"/>
    </row>
    <row r="390">
      <c r="D390" s="285"/>
      <c r="E390" s="73"/>
      <c r="F390" s="286"/>
      <c r="G390" s="27"/>
      <c r="I390" s="5"/>
      <c r="J390" s="183"/>
    </row>
    <row r="391">
      <c r="D391" s="285"/>
      <c r="E391" s="73"/>
      <c r="F391" s="286"/>
      <c r="G391" s="27"/>
      <c r="I391" s="5"/>
      <c r="J391" s="183"/>
    </row>
    <row r="392">
      <c r="D392" s="285"/>
      <c r="E392" s="73"/>
      <c r="F392" s="286"/>
      <c r="G392" s="27"/>
      <c r="I392" s="5"/>
      <c r="J392" s="183"/>
    </row>
    <row r="393">
      <c r="D393" s="285"/>
      <c r="E393" s="73"/>
      <c r="F393" s="286"/>
      <c r="G393" s="27"/>
      <c r="I393" s="5"/>
      <c r="J393" s="183"/>
    </row>
    <row r="394">
      <c r="D394" s="285"/>
      <c r="E394" s="73"/>
      <c r="F394" s="286"/>
      <c r="G394" s="27"/>
      <c r="I394" s="5"/>
      <c r="J394" s="183"/>
    </row>
    <row r="395">
      <c r="D395" s="285"/>
      <c r="E395" s="73"/>
      <c r="F395" s="286"/>
      <c r="G395" s="27"/>
      <c r="I395" s="5"/>
      <c r="J395" s="183"/>
    </row>
    <row r="396">
      <c r="D396" s="285"/>
      <c r="E396" s="73"/>
      <c r="F396" s="286"/>
      <c r="G396" s="27"/>
      <c r="I396" s="5"/>
      <c r="J396" s="183"/>
    </row>
    <row r="397">
      <c r="D397" s="285"/>
      <c r="E397" s="73"/>
      <c r="F397" s="286"/>
      <c r="G397" s="27"/>
      <c r="I397" s="5"/>
      <c r="J397" s="183"/>
    </row>
    <row r="398">
      <c r="D398" s="285"/>
      <c r="E398" s="73"/>
      <c r="F398" s="286"/>
      <c r="G398" s="27"/>
      <c r="I398" s="5"/>
      <c r="J398" s="183"/>
    </row>
    <row r="399">
      <c r="D399" s="285"/>
      <c r="E399" s="73"/>
      <c r="F399" s="286"/>
      <c r="G399" s="27"/>
      <c r="I399" s="5"/>
      <c r="J399" s="183"/>
    </row>
    <row r="400">
      <c r="D400" s="285"/>
      <c r="E400" s="73"/>
      <c r="F400" s="286"/>
      <c r="G400" s="27"/>
      <c r="I400" s="5"/>
      <c r="J400" s="183"/>
    </row>
    <row r="401">
      <c r="D401" s="285"/>
      <c r="E401" s="73"/>
      <c r="F401" s="286"/>
      <c r="G401" s="27"/>
      <c r="I401" s="5"/>
      <c r="J401" s="183"/>
    </row>
    <row r="402">
      <c r="D402" s="285"/>
      <c r="E402" s="73"/>
      <c r="F402" s="286"/>
      <c r="G402" s="27"/>
      <c r="I402" s="5"/>
      <c r="J402" s="183"/>
    </row>
    <row r="403">
      <c r="D403" s="285"/>
      <c r="E403" s="73"/>
      <c r="F403" s="286"/>
      <c r="G403" s="27"/>
      <c r="I403" s="5"/>
      <c r="J403" s="183"/>
    </row>
    <row r="404">
      <c r="D404" s="285"/>
      <c r="E404" s="73"/>
      <c r="F404" s="286"/>
      <c r="G404" s="27"/>
      <c r="I404" s="5"/>
      <c r="J404" s="183"/>
    </row>
    <row r="405">
      <c r="D405" s="285"/>
      <c r="E405" s="73"/>
      <c r="F405" s="286"/>
      <c r="G405" s="27"/>
      <c r="I405" s="5"/>
      <c r="J405" s="183"/>
    </row>
    <row r="406">
      <c r="D406" s="285"/>
      <c r="E406" s="73"/>
      <c r="F406" s="286"/>
      <c r="G406" s="27"/>
      <c r="I406" s="5"/>
      <c r="J406" s="183"/>
    </row>
    <row r="407">
      <c r="D407" s="285"/>
      <c r="E407" s="73"/>
      <c r="F407" s="286"/>
      <c r="G407" s="27"/>
      <c r="I407" s="5"/>
      <c r="J407" s="183"/>
    </row>
    <row r="408">
      <c r="D408" s="285"/>
      <c r="E408" s="73"/>
      <c r="F408" s="286"/>
      <c r="G408" s="27"/>
      <c r="I408" s="5"/>
      <c r="J408" s="183"/>
    </row>
    <row r="409">
      <c r="D409" s="285"/>
      <c r="E409" s="73"/>
      <c r="F409" s="286"/>
      <c r="G409" s="27"/>
      <c r="I409" s="5"/>
      <c r="J409" s="183"/>
    </row>
    <row r="410">
      <c r="D410" s="285"/>
      <c r="E410" s="73"/>
      <c r="F410" s="286"/>
      <c r="G410" s="27"/>
      <c r="I410" s="5"/>
      <c r="J410" s="183"/>
    </row>
    <row r="411">
      <c r="D411" s="285"/>
      <c r="E411" s="73"/>
      <c r="F411" s="286"/>
      <c r="G411" s="27"/>
      <c r="I411" s="5"/>
      <c r="J411" s="183"/>
    </row>
    <row r="412">
      <c r="D412" s="285"/>
      <c r="E412" s="73"/>
      <c r="F412" s="286"/>
      <c r="G412" s="27"/>
      <c r="I412" s="5"/>
      <c r="J412" s="183"/>
    </row>
    <row r="413">
      <c r="D413" s="285"/>
      <c r="E413" s="73"/>
      <c r="F413" s="286"/>
      <c r="G413" s="27"/>
      <c r="I413" s="5"/>
      <c r="J413" s="183"/>
    </row>
    <row r="414">
      <c r="D414" s="285"/>
      <c r="E414" s="73"/>
      <c r="F414" s="286"/>
      <c r="G414" s="27"/>
      <c r="I414" s="5"/>
      <c r="J414" s="183"/>
    </row>
    <row r="415">
      <c r="D415" s="285"/>
      <c r="E415" s="73"/>
      <c r="F415" s="286"/>
      <c r="G415" s="27"/>
      <c r="I415" s="5"/>
      <c r="J415" s="183"/>
    </row>
    <row r="416">
      <c r="D416" s="285"/>
      <c r="E416" s="73"/>
      <c r="F416" s="286"/>
      <c r="G416" s="27"/>
      <c r="I416" s="5"/>
      <c r="J416" s="183"/>
    </row>
    <row r="417">
      <c r="D417" s="285"/>
      <c r="E417" s="73"/>
      <c r="F417" s="286"/>
      <c r="G417" s="27"/>
      <c r="I417" s="5"/>
      <c r="J417" s="183"/>
    </row>
    <row r="418">
      <c r="D418" s="285"/>
      <c r="E418" s="73"/>
      <c r="F418" s="286"/>
      <c r="G418" s="27"/>
      <c r="I418" s="5"/>
      <c r="J418" s="183"/>
    </row>
    <row r="419">
      <c r="D419" s="285"/>
      <c r="E419" s="73"/>
      <c r="F419" s="286"/>
      <c r="G419" s="27"/>
      <c r="I419" s="5"/>
      <c r="J419" s="183"/>
    </row>
    <row r="420">
      <c r="D420" s="285"/>
      <c r="E420" s="73"/>
      <c r="F420" s="286"/>
      <c r="G420" s="27"/>
      <c r="I420" s="5"/>
      <c r="J420" s="183"/>
    </row>
    <row r="421">
      <c r="D421" s="285"/>
      <c r="E421" s="73"/>
      <c r="F421" s="286"/>
      <c r="G421" s="27"/>
      <c r="I421" s="5"/>
      <c r="J421" s="183"/>
    </row>
    <row r="422">
      <c r="D422" s="285"/>
      <c r="E422" s="73"/>
      <c r="F422" s="286"/>
      <c r="G422" s="27"/>
      <c r="I422" s="5"/>
      <c r="J422" s="183"/>
    </row>
    <row r="423">
      <c r="D423" s="285"/>
      <c r="E423" s="73"/>
      <c r="F423" s="286"/>
      <c r="G423" s="27"/>
      <c r="I423" s="5"/>
      <c r="J423" s="183"/>
    </row>
    <row r="424">
      <c r="D424" s="285"/>
      <c r="E424" s="73"/>
      <c r="F424" s="286"/>
      <c r="G424" s="27"/>
      <c r="I424" s="5"/>
      <c r="J424" s="183"/>
    </row>
    <row r="425">
      <c r="D425" s="285"/>
      <c r="E425" s="73"/>
      <c r="F425" s="286"/>
      <c r="G425" s="27"/>
      <c r="I425" s="5"/>
      <c r="J425" s="183"/>
    </row>
    <row r="426">
      <c r="D426" s="285"/>
      <c r="E426" s="73"/>
      <c r="F426" s="286"/>
      <c r="G426" s="27"/>
      <c r="I426" s="5"/>
      <c r="J426" s="183"/>
    </row>
    <row r="427">
      <c r="D427" s="285"/>
      <c r="E427" s="73"/>
      <c r="F427" s="286"/>
      <c r="G427" s="27"/>
      <c r="I427" s="5"/>
      <c r="J427" s="183"/>
    </row>
    <row r="428">
      <c r="D428" s="285"/>
      <c r="E428" s="73"/>
      <c r="F428" s="286"/>
      <c r="G428" s="27"/>
      <c r="I428" s="5"/>
      <c r="J428" s="183"/>
    </row>
    <row r="429">
      <c r="D429" s="285"/>
      <c r="E429" s="73"/>
      <c r="F429" s="286"/>
      <c r="G429" s="27"/>
      <c r="I429" s="5"/>
      <c r="J429" s="183"/>
    </row>
    <row r="430">
      <c r="D430" s="285"/>
      <c r="E430" s="73"/>
      <c r="F430" s="286"/>
      <c r="G430" s="27"/>
      <c r="I430" s="5"/>
      <c r="J430" s="183"/>
    </row>
    <row r="431">
      <c r="D431" s="285"/>
      <c r="E431" s="73"/>
      <c r="F431" s="286"/>
      <c r="G431" s="27"/>
      <c r="I431" s="5"/>
      <c r="J431" s="183"/>
    </row>
    <row r="432">
      <c r="D432" s="285"/>
      <c r="E432" s="73"/>
      <c r="F432" s="286"/>
      <c r="G432" s="27"/>
      <c r="I432" s="5"/>
      <c r="J432" s="183"/>
    </row>
    <row r="433">
      <c r="D433" s="285"/>
      <c r="E433" s="73"/>
      <c r="F433" s="286"/>
      <c r="G433" s="27"/>
      <c r="I433" s="5"/>
      <c r="J433" s="183"/>
    </row>
    <row r="434">
      <c r="D434" s="285"/>
      <c r="E434" s="73"/>
      <c r="F434" s="286"/>
      <c r="G434" s="27"/>
      <c r="I434" s="5"/>
      <c r="J434" s="183"/>
    </row>
    <row r="435">
      <c r="D435" s="285"/>
      <c r="E435" s="73"/>
      <c r="F435" s="286"/>
      <c r="G435" s="27"/>
      <c r="I435" s="5"/>
      <c r="J435" s="183"/>
    </row>
    <row r="436">
      <c r="D436" s="285"/>
      <c r="E436" s="73"/>
      <c r="F436" s="286"/>
      <c r="G436" s="27"/>
      <c r="I436" s="5"/>
      <c r="J436" s="183"/>
    </row>
    <row r="437">
      <c r="D437" s="285"/>
      <c r="E437" s="73"/>
      <c r="F437" s="286"/>
      <c r="G437" s="27"/>
      <c r="I437" s="5"/>
      <c r="J437" s="183"/>
    </row>
    <row r="438">
      <c r="D438" s="285"/>
      <c r="E438" s="73"/>
      <c r="F438" s="286"/>
      <c r="G438" s="27"/>
      <c r="I438" s="5"/>
      <c r="J438" s="183"/>
    </row>
    <row r="439">
      <c r="D439" s="285"/>
      <c r="E439" s="73"/>
      <c r="F439" s="286"/>
      <c r="G439" s="27"/>
      <c r="I439" s="5"/>
      <c r="J439" s="183"/>
    </row>
    <row r="440">
      <c r="D440" s="285"/>
      <c r="E440" s="73"/>
      <c r="F440" s="286"/>
      <c r="G440" s="27"/>
      <c r="I440" s="5"/>
      <c r="J440" s="183"/>
    </row>
    <row r="441">
      <c r="D441" s="285"/>
      <c r="E441" s="73"/>
      <c r="F441" s="286"/>
      <c r="G441" s="27"/>
      <c r="I441" s="5"/>
      <c r="J441" s="183"/>
    </row>
    <row r="442">
      <c r="D442" s="285"/>
      <c r="E442" s="73"/>
      <c r="F442" s="286"/>
      <c r="G442" s="27"/>
      <c r="I442" s="5"/>
      <c r="J442" s="183"/>
    </row>
    <row r="443">
      <c r="D443" s="285"/>
      <c r="E443" s="73"/>
      <c r="F443" s="286"/>
      <c r="G443" s="27"/>
      <c r="I443" s="5"/>
      <c r="J443" s="183"/>
    </row>
    <row r="444">
      <c r="D444" s="285"/>
      <c r="E444" s="73"/>
      <c r="F444" s="286"/>
      <c r="G444" s="27"/>
      <c r="I444" s="5"/>
      <c r="J444" s="183"/>
    </row>
    <row r="445">
      <c r="D445" s="285"/>
      <c r="E445" s="73"/>
      <c r="F445" s="286"/>
      <c r="G445" s="27"/>
      <c r="I445" s="5"/>
      <c r="J445" s="183"/>
    </row>
    <row r="446">
      <c r="D446" s="285"/>
      <c r="E446" s="73"/>
      <c r="F446" s="286"/>
      <c r="G446" s="27"/>
      <c r="I446" s="5"/>
      <c r="J446" s="183"/>
    </row>
    <row r="447">
      <c r="D447" s="285"/>
      <c r="E447" s="73"/>
      <c r="F447" s="286"/>
      <c r="G447" s="27"/>
      <c r="I447" s="5"/>
      <c r="J447" s="183"/>
    </row>
    <row r="448">
      <c r="D448" s="285"/>
      <c r="E448" s="73"/>
      <c r="F448" s="286"/>
      <c r="G448" s="27"/>
      <c r="I448" s="5"/>
      <c r="J448" s="183"/>
    </row>
    <row r="449">
      <c r="D449" s="285"/>
      <c r="E449" s="73"/>
      <c r="F449" s="286"/>
      <c r="G449" s="27"/>
      <c r="I449" s="5"/>
      <c r="J449" s="183"/>
    </row>
    <row r="450">
      <c r="D450" s="285"/>
      <c r="E450" s="73"/>
      <c r="F450" s="286"/>
      <c r="G450" s="27"/>
      <c r="I450" s="5"/>
      <c r="J450" s="183"/>
    </row>
    <row r="451">
      <c r="D451" s="285"/>
      <c r="E451" s="73"/>
      <c r="F451" s="286"/>
      <c r="G451" s="27"/>
      <c r="I451" s="5"/>
      <c r="J451" s="183"/>
    </row>
    <row r="452">
      <c r="D452" s="285"/>
      <c r="E452" s="73"/>
      <c r="F452" s="286"/>
      <c r="G452" s="27"/>
      <c r="I452" s="5"/>
      <c r="J452" s="183"/>
    </row>
    <row r="453">
      <c r="D453" s="285"/>
      <c r="E453" s="73"/>
      <c r="F453" s="286"/>
      <c r="G453" s="27"/>
      <c r="I453" s="5"/>
      <c r="J453" s="183"/>
    </row>
    <row r="454">
      <c r="D454" s="285"/>
      <c r="E454" s="73"/>
      <c r="F454" s="286"/>
      <c r="G454" s="27"/>
      <c r="I454" s="5"/>
      <c r="J454" s="183"/>
    </row>
    <row r="455">
      <c r="D455" s="285"/>
      <c r="E455" s="73"/>
      <c r="F455" s="286"/>
      <c r="G455" s="27"/>
      <c r="I455" s="5"/>
      <c r="J455" s="183"/>
    </row>
    <row r="456">
      <c r="D456" s="285"/>
      <c r="E456" s="73"/>
      <c r="F456" s="286"/>
      <c r="G456" s="27"/>
      <c r="I456" s="5"/>
      <c r="J456" s="183"/>
    </row>
    <row r="457">
      <c r="D457" s="285"/>
      <c r="E457" s="73"/>
      <c r="F457" s="286"/>
      <c r="G457" s="27"/>
      <c r="I457" s="5"/>
      <c r="J457" s="183"/>
    </row>
    <row r="458">
      <c r="D458" s="285"/>
      <c r="E458" s="73"/>
      <c r="F458" s="286"/>
      <c r="G458" s="27"/>
      <c r="I458" s="5"/>
      <c r="J458" s="183"/>
    </row>
    <row r="459">
      <c r="D459" s="285"/>
      <c r="E459" s="73"/>
      <c r="F459" s="286"/>
      <c r="G459" s="27"/>
      <c r="I459" s="5"/>
      <c r="J459" s="183"/>
    </row>
    <row r="460">
      <c r="D460" s="285"/>
      <c r="E460" s="73"/>
      <c r="F460" s="286"/>
      <c r="G460" s="27"/>
      <c r="I460" s="5"/>
      <c r="J460" s="183"/>
    </row>
    <row r="461">
      <c r="D461" s="285"/>
      <c r="E461" s="73"/>
      <c r="F461" s="286"/>
      <c r="G461" s="27"/>
      <c r="I461" s="5"/>
      <c r="J461" s="183"/>
    </row>
    <row r="462">
      <c r="D462" s="285"/>
      <c r="E462" s="73"/>
      <c r="F462" s="286"/>
      <c r="G462" s="27"/>
      <c r="I462" s="5"/>
      <c r="J462" s="183"/>
    </row>
    <row r="463">
      <c r="D463" s="285"/>
      <c r="E463" s="73"/>
      <c r="F463" s="286"/>
      <c r="G463" s="27"/>
      <c r="I463" s="5"/>
      <c r="J463" s="183"/>
    </row>
    <row r="464">
      <c r="D464" s="285"/>
      <c r="E464" s="73"/>
      <c r="F464" s="286"/>
      <c r="G464" s="27"/>
      <c r="I464" s="5"/>
      <c r="J464" s="183"/>
    </row>
    <row r="465">
      <c r="D465" s="285"/>
      <c r="E465" s="73"/>
      <c r="F465" s="286"/>
      <c r="G465" s="27"/>
      <c r="I465" s="5"/>
      <c r="J465" s="183"/>
    </row>
    <row r="466">
      <c r="D466" s="285"/>
      <c r="E466" s="73"/>
      <c r="F466" s="286"/>
      <c r="G466" s="27"/>
      <c r="I466" s="5"/>
      <c r="J466" s="183"/>
    </row>
    <row r="467">
      <c r="D467" s="285"/>
      <c r="E467" s="73"/>
      <c r="F467" s="286"/>
      <c r="G467" s="27"/>
      <c r="I467" s="5"/>
      <c r="J467" s="183"/>
    </row>
    <row r="468">
      <c r="D468" s="285"/>
      <c r="E468" s="73"/>
      <c r="F468" s="286"/>
      <c r="G468" s="27"/>
      <c r="I468" s="5"/>
      <c r="J468" s="183"/>
    </row>
    <row r="469">
      <c r="D469" s="285"/>
      <c r="E469" s="73"/>
      <c r="F469" s="286"/>
      <c r="G469" s="27"/>
      <c r="I469" s="5"/>
      <c r="J469" s="183"/>
    </row>
    <row r="470">
      <c r="D470" s="285"/>
      <c r="E470" s="73"/>
      <c r="F470" s="286"/>
      <c r="G470" s="27"/>
      <c r="I470" s="5"/>
      <c r="J470" s="183"/>
    </row>
    <row r="471">
      <c r="D471" s="285"/>
      <c r="E471" s="73"/>
      <c r="F471" s="286"/>
      <c r="G471" s="27"/>
      <c r="I471" s="5"/>
      <c r="J471" s="183"/>
    </row>
    <row r="472">
      <c r="D472" s="285"/>
      <c r="E472" s="73"/>
      <c r="F472" s="286"/>
      <c r="G472" s="27"/>
      <c r="I472" s="5"/>
      <c r="J472" s="183"/>
    </row>
    <row r="473">
      <c r="D473" s="285"/>
      <c r="E473" s="73"/>
      <c r="F473" s="286"/>
      <c r="G473" s="27"/>
      <c r="I473" s="5"/>
      <c r="J473" s="183"/>
    </row>
    <row r="474">
      <c r="D474" s="285"/>
      <c r="E474" s="73"/>
      <c r="F474" s="286"/>
      <c r="G474" s="27"/>
      <c r="I474" s="5"/>
      <c r="J474" s="183"/>
    </row>
    <row r="475">
      <c r="D475" s="285"/>
      <c r="E475" s="73"/>
      <c r="F475" s="286"/>
      <c r="G475" s="27"/>
      <c r="I475" s="5"/>
      <c r="J475" s="183"/>
    </row>
    <row r="476">
      <c r="D476" s="285"/>
      <c r="E476" s="73"/>
      <c r="F476" s="286"/>
      <c r="G476" s="27"/>
      <c r="I476" s="5"/>
      <c r="J476" s="183"/>
    </row>
    <row r="477">
      <c r="D477" s="285"/>
      <c r="E477" s="73"/>
      <c r="F477" s="286"/>
      <c r="G477" s="27"/>
      <c r="I477" s="5"/>
      <c r="J477" s="183"/>
    </row>
    <row r="478">
      <c r="D478" s="285"/>
      <c r="E478" s="73"/>
      <c r="F478" s="286"/>
      <c r="G478" s="27"/>
      <c r="I478" s="5"/>
      <c r="J478" s="183"/>
    </row>
    <row r="479">
      <c r="D479" s="285"/>
      <c r="E479" s="73"/>
      <c r="F479" s="286"/>
      <c r="G479" s="27"/>
      <c r="I479" s="5"/>
      <c r="J479" s="183"/>
    </row>
    <row r="480">
      <c r="D480" s="285"/>
      <c r="E480" s="73"/>
      <c r="F480" s="286"/>
      <c r="G480" s="27"/>
      <c r="I480" s="5"/>
      <c r="J480" s="183"/>
    </row>
    <row r="481">
      <c r="D481" s="285"/>
      <c r="E481" s="73"/>
      <c r="F481" s="286"/>
      <c r="G481" s="27"/>
      <c r="I481" s="5"/>
      <c r="J481" s="183"/>
    </row>
    <row r="482">
      <c r="D482" s="285"/>
      <c r="E482" s="73"/>
      <c r="F482" s="286"/>
      <c r="G482" s="27"/>
      <c r="I482" s="5"/>
      <c r="J482" s="183"/>
    </row>
    <row r="483">
      <c r="D483" s="285"/>
      <c r="E483" s="73"/>
      <c r="F483" s="286"/>
      <c r="G483" s="27"/>
      <c r="I483" s="5"/>
      <c r="J483" s="183"/>
    </row>
    <row r="484">
      <c r="D484" s="285"/>
      <c r="E484" s="73"/>
      <c r="F484" s="286"/>
      <c r="G484" s="27"/>
      <c r="I484" s="5"/>
      <c r="J484" s="183"/>
    </row>
    <row r="485">
      <c r="D485" s="285"/>
      <c r="E485" s="73"/>
      <c r="F485" s="286"/>
      <c r="G485" s="27"/>
      <c r="I485" s="5"/>
      <c r="J485" s="183"/>
    </row>
    <row r="486">
      <c r="D486" s="285"/>
      <c r="E486" s="73"/>
      <c r="F486" s="286"/>
      <c r="G486" s="27"/>
      <c r="I486" s="5"/>
      <c r="J486" s="183"/>
    </row>
    <row r="487">
      <c r="D487" s="285"/>
      <c r="E487" s="73"/>
      <c r="F487" s="286"/>
      <c r="G487" s="27"/>
      <c r="I487" s="5"/>
      <c r="J487" s="183"/>
    </row>
    <row r="488">
      <c r="D488" s="285"/>
      <c r="E488" s="73"/>
      <c r="F488" s="286"/>
      <c r="G488" s="27"/>
      <c r="I488" s="5"/>
      <c r="J488" s="183"/>
    </row>
    <row r="489">
      <c r="D489" s="285"/>
      <c r="E489" s="73"/>
      <c r="F489" s="286"/>
      <c r="G489" s="27"/>
      <c r="I489" s="5"/>
      <c r="J489" s="183"/>
    </row>
    <row r="490">
      <c r="D490" s="285"/>
      <c r="E490" s="73"/>
      <c r="F490" s="286"/>
      <c r="G490" s="27"/>
      <c r="I490" s="5"/>
      <c r="J490" s="183"/>
    </row>
    <row r="491">
      <c r="D491" s="285"/>
      <c r="E491" s="73"/>
      <c r="F491" s="286"/>
      <c r="G491" s="27"/>
      <c r="I491" s="5"/>
      <c r="J491" s="183"/>
    </row>
    <row r="492">
      <c r="D492" s="285"/>
      <c r="E492" s="73"/>
      <c r="F492" s="286"/>
      <c r="G492" s="27"/>
      <c r="I492" s="5"/>
      <c r="J492" s="183"/>
    </row>
    <row r="493">
      <c r="D493" s="285"/>
      <c r="E493" s="73"/>
      <c r="F493" s="286"/>
      <c r="G493" s="27"/>
      <c r="I493" s="5"/>
      <c r="J493" s="183"/>
    </row>
    <row r="494">
      <c r="D494" s="285"/>
      <c r="E494" s="73"/>
      <c r="F494" s="286"/>
      <c r="G494" s="27"/>
      <c r="I494" s="5"/>
      <c r="J494" s="183"/>
    </row>
    <row r="495">
      <c r="D495" s="285"/>
      <c r="E495" s="73"/>
      <c r="F495" s="286"/>
      <c r="G495" s="27"/>
      <c r="I495" s="5"/>
      <c r="J495" s="183"/>
    </row>
    <row r="496">
      <c r="D496" s="285"/>
      <c r="E496" s="73"/>
      <c r="F496" s="286"/>
      <c r="G496" s="27"/>
      <c r="I496" s="5"/>
      <c r="J496" s="183"/>
    </row>
    <row r="497">
      <c r="D497" s="285"/>
      <c r="E497" s="73"/>
      <c r="F497" s="286"/>
      <c r="G497" s="27"/>
      <c r="I497" s="5"/>
      <c r="J497" s="183"/>
    </row>
    <row r="498">
      <c r="D498" s="285"/>
      <c r="E498" s="73"/>
      <c r="F498" s="286"/>
      <c r="G498" s="27"/>
      <c r="I498" s="5"/>
      <c r="J498" s="183"/>
    </row>
    <row r="499">
      <c r="D499" s="285"/>
      <c r="E499" s="73"/>
      <c r="F499" s="286"/>
      <c r="G499" s="27"/>
      <c r="I499" s="5"/>
      <c r="J499" s="183"/>
    </row>
    <row r="500">
      <c r="D500" s="285"/>
      <c r="E500" s="73"/>
      <c r="F500" s="286"/>
      <c r="G500" s="27"/>
      <c r="I500" s="5"/>
      <c r="J500" s="183"/>
    </row>
    <row r="501">
      <c r="D501" s="285"/>
      <c r="E501" s="73"/>
      <c r="F501" s="286"/>
      <c r="G501" s="27"/>
      <c r="I501" s="5"/>
      <c r="J501" s="183"/>
    </row>
    <row r="502">
      <c r="D502" s="285"/>
      <c r="E502" s="73"/>
      <c r="F502" s="286"/>
      <c r="G502" s="27"/>
      <c r="I502" s="5"/>
      <c r="J502" s="183"/>
    </row>
    <row r="503">
      <c r="D503" s="285"/>
      <c r="E503" s="73"/>
      <c r="F503" s="286"/>
      <c r="G503" s="27"/>
      <c r="I503" s="5"/>
      <c r="J503" s="183"/>
    </row>
    <row r="504">
      <c r="D504" s="285"/>
      <c r="E504" s="73"/>
      <c r="F504" s="286"/>
      <c r="G504" s="27"/>
      <c r="I504" s="5"/>
      <c r="J504" s="183"/>
    </row>
    <row r="505">
      <c r="D505" s="285"/>
      <c r="E505" s="73"/>
      <c r="F505" s="286"/>
      <c r="G505" s="27"/>
      <c r="I505" s="5"/>
      <c r="J505" s="183"/>
    </row>
    <row r="506">
      <c r="D506" s="285"/>
      <c r="E506" s="73"/>
      <c r="F506" s="286"/>
      <c r="G506" s="27"/>
      <c r="I506" s="5"/>
      <c r="J506" s="183"/>
    </row>
    <row r="507">
      <c r="D507" s="285"/>
      <c r="E507" s="73"/>
      <c r="F507" s="286"/>
      <c r="G507" s="27"/>
      <c r="I507" s="5"/>
      <c r="J507" s="183"/>
    </row>
    <row r="508">
      <c r="D508" s="285"/>
      <c r="E508" s="73"/>
      <c r="F508" s="286"/>
      <c r="G508" s="27"/>
      <c r="I508" s="5"/>
      <c r="J508" s="183"/>
    </row>
    <row r="509">
      <c r="D509" s="285"/>
      <c r="E509" s="73"/>
      <c r="F509" s="286"/>
      <c r="G509" s="27"/>
      <c r="I509" s="5"/>
      <c r="J509" s="183"/>
    </row>
    <row r="510">
      <c r="D510" s="285"/>
      <c r="E510" s="73"/>
      <c r="F510" s="286"/>
      <c r="G510" s="27"/>
      <c r="I510" s="5"/>
      <c r="J510" s="183"/>
    </row>
    <row r="511">
      <c r="D511" s="285"/>
      <c r="E511" s="73"/>
      <c r="F511" s="286"/>
      <c r="G511" s="27"/>
      <c r="I511" s="5"/>
      <c r="J511" s="183"/>
    </row>
    <row r="512">
      <c r="D512" s="285"/>
      <c r="E512" s="73"/>
      <c r="F512" s="286"/>
      <c r="G512" s="27"/>
      <c r="I512" s="5"/>
      <c r="J512" s="183"/>
    </row>
    <row r="513">
      <c r="D513" s="285"/>
      <c r="E513" s="73"/>
      <c r="F513" s="286"/>
      <c r="G513" s="27"/>
      <c r="I513" s="5"/>
      <c r="J513" s="183"/>
    </row>
    <row r="514">
      <c r="D514" s="285"/>
      <c r="E514" s="73"/>
      <c r="F514" s="286"/>
      <c r="G514" s="27"/>
      <c r="I514" s="5"/>
      <c r="J514" s="183"/>
    </row>
    <row r="515">
      <c r="D515" s="285"/>
      <c r="E515" s="73"/>
      <c r="F515" s="286"/>
      <c r="G515" s="27"/>
      <c r="I515" s="5"/>
      <c r="J515" s="183"/>
    </row>
    <row r="516">
      <c r="D516" s="285"/>
      <c r="E516" s="73"/>
      <c r="F516" s="286"/>
      <c r="G516" s="27"/>
      <c r="I516" s="5"/>
      <c r="J516" s="183"/>
    </row>
    <row r="517">
      <c r="D517" s="285"/>
      <c r="E517" s="73"/>
      <c r="F517" s="286"/>
      <c r="G517" s="27"/>
      <c r="I517" s="5"/>
      <c r="J517" s="183"/>
    </row>
    <row r="518">
      <c r="D518" s="285"/>
      <c r="E518" s="73"/>
      <c r="F518" s="286"/>
      <c r="G518" s="27"/>
      <c r="I518" s="5"/>
      <c r="J518" s="183"/>
    </row>
    <row r="519">
      <c r="D519" s="285"/>
      <c r="E519" s="73"/>
      <c r="F519" s="286"/>
      <c r="G519" s="27"/>
      <c r="I519" s="5"/>
      <c r="J519" s="183"/>
    </row>
    <row r="520">
      <c r="D520" s="285"/>
      <c r="E520" s="73"/>
      <c r="F520" s="286"/>
      <c r="G520" s="27"/>
      <c r="I520" s="5"/>
      <c r="J520" s="183"/>
    </row>
    <row r="521">
      <c r="D521" s="285"/>
      <c r="E521" s="73"/>
      <c r="F521" s="286"/>
      <c r="G521" s="27"/>
      <c r="I521" s="5"/>
      <c r="J521" s="183"/>
    </row>
    <row r="522">
      <c r="D522" s="285"/>
      <c r="E522" s="73"/>
      <c r="F522" s="286"/>
      <c r="G522" s="27"/>
      <c r="I522" s="5"/>
      <c r="J522" s="183"/>
    </row>
    <row r="523">
      <c r="D523" s="285"/>
      <c r="E523" s="73"/>
      <c r="F523" s="286"/>
      <c r="G523" s="27"/>
      <c r="I523" s="5"/>
      <c r="J523" s="183"/>
    </row>
    <row r="524">
      <c r="D524" s="285"/>
      <c r="E524" s="73"/>
      <c r="F524" s="286"/>
      <c r="G524" s="27"/>
      <c r="I524" s="5"/>
      <c r="J524" s="183"/>
    </row>
    <row r="525">
      <c r="D525" s="285"/>
      <c r="E525" s="73"/>
      <c r="F525" s="286"/>
      <c r="G525" s="27"/>
      <c r="I525" s="5"/>
      <c r="J525" s="183"/>
    </row>
    <row r="526">
      <c r="D526" s="285"/>
      <c r="E526" s="73"/>
      <c r="F526" s="286"/>
      <c r="G526" s="27"/>
      <c r="I526" s="5"/>
      <c r="J526" s="183"/>
    </row>
    <row r="527">
      <c r="D527" s="285"/>
      <c r="E527" s="73"/>
      <c r="F527" s="286"/>
      <c r="G527" s="27"/>
      <c r="I527" s="5"/>
      <c r="J527" s="183"/>
    </row>
    <row r="528">
      <c r="D528" s="285"/>
      <c r="E528" s="73"/>
      <c r="F528" s="286"/>
      <c r="G528" s="27"/>
      <c r="I528" s="5"/>
      <c r="J528" s="183"/>
    </row>
    <row r="529">
      <c r="D529" s="285"/>
      <c r="E529" s="73"/>
      <c r="F529" s="286"/>
      <c r="G529" s="27"/>
      <c r="I529" s="5"/>
      <c r="J529" s="183"/>
    </row>
    <row r="530">
      <c r="D530" s="285"/>
      <c r="E530" s="73"/>
      <c r="F530" s="286"/>
      <c r="G530" s="27"/>
      <c r="I530" s="5"/>
      <c r="J530" s="183"/>
    </row>
    <row r="531">
      <c r="D531" s="285"/>
      <c r="E531" s="73"/>
      <c r="F531" s="286"/>
      <c r="G531" s="27"/>
      <c r="I531" s="5"/>
      <c r="J531" s="183"/>
    </row>
    <row r="532">
      <c r="D532" s="285"/>
      <c r="E532" s="73"/>
      <c r="F532" s="286"/>
      <c r="G532" s="27"/>
      <c r="I532" s="5"/>
      <c r="J532" s="183"/>
    </row>
    <row r="533">
      <c r="D533" s="285"/>
      <c r="E533" s="73"/>
      <c r="F533" s="286"/>
      <c r="G533" s="27"/>
      <c r="I533" s="5"/>
      <c r="J533" s="183"/>
    </row>
    <row r="534">
      <c r="D534" s="285"/>
      <c r="E534" s="73"/>
      <c r="F534" s="286"/>
      <c r="G534" s="27"/>
      <c r="I534" s="5"/>
      <c r="J534" s="183"/>
    </row>
    <row r="535">
      <c r="D535" s="285"/>
      <c r="E535" s="73"/>
      <c r="F535" s="286"/>
      <c r="G535" s="27"/>
      <c r="I535" s="5"/>
      <c r="J535" s="183"/>
    </row>
    <row r="536">
      <c r="D536" s="285"/>
      <c r="E536" s="73"/>
      <c r="F536" s="286"/>
      <c r="G536" s="27"/>
      <c r="I536" s="5"/>
      <c r="J536" s="183"/>
    </row>
    <row r="537">
      <c r="D537" s="285"/>
      <c r="E537" s="73"/>
      <c r="F537" s="286"/>
      <c r="G537" s="27"/>
      <c r="I537" s="5"/>
      <c r="J537" s="183"/>
    </row>
    <row r="538">
      <c r="D538" s="285"/>
      <c r="E538" s="73"/>
      <c r="F538" s="286"/>
      <c r="G538" s="27"/>
      <c r="I538" s="5"/>
      <c r="J538" s="183"/>
    </row>
    <row r="539">
      <c r="D539" s="285"/>
      <c r="E539" s="73"/>
      <c r="F539" s="286"/>
      <c r="G539" s="27"/>
      <c r="I539" s="5"/>
      <c r="J539" s="183"/>
    </row>
    <row r="540">
      <c r="D540" s="285"/>
      <c r="E540" s="73"/>
      <c r="F540" s="286"/>
      <c r="G540" s="27"/>
      <c r="I540" s="5"/>
      <c r="J540" s="183"/>
    </row>
    <row r="541">
      <c r="D541" s="285"/>
      <c r="E541" s="73"/>
      <c r="F541" s="286"/>
      <c r="G541" s="27"/>
      <c r="I541" s="5"/>
      <c r="J541" s="183"/>
    </row>
    <row r="542">
      <c r="D542" s="285"/>
      <c r="E542" s="73"/>
      <c r="F542" s="286"/>
      <c r="G542" s="27"/>
      <c r="I542" s="5"/>
      <c r="J542" s="183"/>
    </row>
    <row r="543">
      <c r="D543" s="285"/>
      <c r="E543" s="73"/>
      <c r="F543" s="286"/>
      <c r="G543" s="27"/>
      <c r="I543" s="5"/>
      <c r="J543" s="183"/>
    </row>
    <row r="544">
      <c r="D544" s="285"/>
      <c r="E544" s="73"/>
      <c r="F544" s="286"/>
      <c r="G544" s="27"/>
      <c r="I544" s="5"/>
      <c r="J544" s="183"/>
    </row>
    <row r="545">
      <c r="D545" s="285"/>
      <c r="E545" s="73"/>
      <c r="F545" s="286"/>
      <c r="G545" s="27"/>
      <c r="I545" s="5"/>
      <c r="J545" s="183"/>
    </row>
    <row r="546">
      <c r="D546" s="285"/>
      <c r="E546" s="73"/>
      <c r="F546" s="286"/>
      <c r="G546" s="27"/>
      <c r="I546" s="5"/>
      <c r="J546" s="183"/>
    </row>
    <row r="547">
      <c r="D547" s="285"/>
      <c r="E547" s="73"/>
      <c r="F547" s="286"/>
      <c r="G547" s="27"/>
      <c r="I547" s="5"/>
      <c r="J547" s="183"/>
    </row>
    <row r="548">
      <c r="D548" s="285"/>
      <c r="E548" s="73"/>
      <c r="F548" s="286"/>
      <c r="G548" s="27"/>
      <c r="I548" s="5"/>
      <c r="J548" s="183"/>
    </row>
    <row r="549">
      <c r="D549" s="285"/>
      <c r="E549" s="73"/>
      <c r="F549" s="286"/>
      <c r="G549" s="27"/>
      <c r="I549" s="5"/>
      <c r="J549" s="183"/>
    </row>
    <row r="550">
      <c r="D550" s="285"/>
      <c r="E550" s="73"/>
      <c r="F550" s="286"/>
      <c r="G550" s="27"/>
      <c r="I550" s="5"/>
      <c r="J550" s="183"/>
    </row>
    <row r="551">
      <c r="D551" s="285"/>
      <c r="E551" s="73"/>
      <c r="F551" s="286"/>
      <c r="G551" s="27"/>
      <c r="I551" s="5"/>
      <c r="J551" s="183"/>
    </row>
    <row r="552">
      <c r="D552" s="285"/>
      <c r="E552" s="73"/>
      <c r="F552" s="286"/>
      <c r="G552" s="27"/>
      <c r="I552" s="5"/>
      <c r="J552" s="183"/>
    </row>
    <row r="553">
      <c r="D553" s="285"/>
      <c r="E553" s="73"/>
      <c r="F553" s="286"/>
      <c r="G553" s="27"/>
      <c r="I553" s="5"/>
      <c r="J553" s="183"/>
    </row>
    <row r="554">
      <c r="D554" s="285"/>
      <c r="E554" s="73"/>
      <c r="F554" s="286"/>
      <c r="G554" s="27"/>
      <c r="I554" s="5"/>
      <c r="J554" s="183"/>
    </row>
    <row r="555">
      <c r="D555" s="285"/>
      <c r="E555" s="73"/>
      <c r="F555" s="286"/>
      <c r="G555" s="27"/>
      <c r="I555" s="5"/>
      <c r="J555" s="183"/>
    </row>
    <row r="556">
      <c r="D556" s="285"/>
      <c r="E556" s="73"/>
      <c r="F556" s="286"/>
      <c r="G556" s="27"/>
      <c r="I556" s="5"/>
      <c r="J556" s="183"/>
    </row>
    <row r="557">
      <c r="D557" s="285"/>
      <c r="E557" s="73"/>
      <c r="F557" s="286"/>
      <c r="G557" s="27"/>
      <c r="I557" s="5"/>
      <c r="J557" s="183"/>
    </row>
    <row r="558">
      <c r="D558" s="285"/>
      <c r="E558" s="73"/>
      <c r="F558" s="286"/>
      <c r="G558" s="27"/>
      <c r="I558" s="5"/>
      <c r="J558" s="183"/>
    </row>
    <row r="559">
      <c r="D559" s="285"/>
      <c r="E559" s="73"/>
      <c r="F559" s="286"/>
      <c r="G559" s="27"/>
      <c r="I559" s="5"/>
      <c r="J559" s="183"/>
    </row>
    <row r="560">
      <c r="D560" s="285"/>
      <c r="E560" s="73"/>
      <c r="F560" s="286"/>
      <c r="G560" s="27"/>
      <c r="I560" s="5"/>
      <c r="J560" s="183"/>
    </row>
    <row r="561">
      <c r="D561" s="285"/>
      <c r="E561" s="73"/>
      <c r="F561" s="286"/>
      <c r="G561" s="27"/>
      <c r="I561" s="5"/>
      <c r="J561" s="183"/>
    </row>
    <row r="562">
      <c r="D562" s="285"/>
      <c r="E562" s="73"/>
      <c r="F562" s="286"/>
      <c r="G562" s="27"/>
      <c r="I562" s="5"/>
      <c r="J562" s="183"/>
    </row>
    <row r="563">
      <c r="D563" s="285"/>
      <c r="E563" s="73"/>
      <c r="F563" s="286"/>
      <c r="G563" s="27"/>
      <c r="I563" s="5"/>
      <c r="J563" s="183"/>
    </row>
    <row r="564">
      <c r="D564" s="285"/>
      <c r="E564" s="73"/>
      <c r="F564" s="286"/>
      <c r="G564" s="27"/>
      <c r="I564" s="5"/>
      <c r="J564" s="183"/>
    </row>
    <row r="565">
      <c r="D565" s="285"/>
      <c r="E565" s="73"/>
      <c r="F565" s="286"/>
      <c r="G565" s="27"/>
      <c r="I565" s="5"/>
      <c r="J565" s="183"/>
    </row>
    <row r="566">
      <c r="D566" s="285"/>
      <c r="E566" s="73"/>
      <c r="F566" s="286"/>
      <c r="G566" s="27"/>
      <c r="I566" s="5"/>
      <c r="J566" s="183"/>
    </row>
    <row r="567">
      <c r="D567" s="285"/>
      <c r="E567" s="73"/>
      <c r="F567" s="286"/>
      <c r="G567" s="27"/>
      <c r="I567" s="5"/>
      <c r="J567" s="183"/>
    </row>
    <row r="568">
      <c r="D568" s="285"/>
      <c r="E568" s="73"/>
      <c r="F568" s="286"/>
      <c r="G568" s="27"/>
      <c r="I568" s="5"/>
      <c r="J568" s="183"/>
    </row>
    <row r="569">
      <c r="D569" s="285"/>
      <c r="E569" s="73"/>
      <c r="F569" s="286"/>
      <c r="G569" s="27"/>
      <c r="I569" s="5"/>
      <c r="J569" s="183"/>
    </row>
    <row r="570">
      <c r="D570" s="285"/>
      <c r="E570" s="73"/>
      <c r="F570" s="286"/>
      <c r="G570" s="27"/>
      <c r="I570" s="5"/>
      <c r="J570" s="183"/>
    </row>
    <row r="571">
      <c r="D571" s="285"/>
      <c r="E571" s="73"/>
      <c r="F571" s="286"/>
      <c r="G571" s="27"/>
      <c r="I571" s="5"/>
      <c r="J571" s="183"/>
    </row>
    <row r="572">
      <c r="D572" s="285"/>
      <c r="E572" s="73"/>
      <c r="F572" s="286"/>
      <c r="G572" s="27"/>
      <c r="I572" s="5"/>
      <c r="J572" s="183"/>
    </row>
    <row r="573">
      <c r="D573" s="285"/>
      <c r="E573" s="73"/>
      <c r="F573" s="286"/>
      <c r="G573" s="27"/>
      <c r="I573" s="5"/>
      <c r="J573" s="183"/>
    </row>
    <row r="574">
      <c r="D574" s="285"/>
      <c r="E574" s="73"/>
      <c r="F574" s="286"/>
      <c r="G574" s="27"/>
      <c r="I574" s="5"/>
      <c r="J574" s="183"/>
    </row>
    <row r="575">
      <c r="D575" s="285"/>
      <c r="E575" s="73"/>
      <c r="F575" s="286"/>
      <c r="G575" s="27"/>
      <c r="I575" s="5"/>
      <c r="J575" s="183"/>
    </row>
    <row r="576">
      <c r="D576" s="285"/>
      <c r="E576" s="73"/>
      <c r="F576" s="286"/>
      <c r="G576" s="27"/>
      <c r="I576" s="5"/>
      <c r="J576" s="183"/>
    </row>
    <row r="577">
      <c r="D577" s="285"/>
      <c r="E577" s="73"/>
      <c r="F577" s="286"/>
      <c r="G577" s="27"/>
      <c r="I577" s="5"/>
      <c r="J577" s="183"/>
    </row>
    <row r="578">
      <c r="D578" s="285"/>
      <c r="E578" s="73"/>
      <c r="F578" s="286"/>
      <c r="G578" s="27"/>
      <c r="I578" s="5"/>
      <c r="J578" s="183"/>
    </row>
    <row r="579">
      <c r="D579" s="285"/>
      <c r="E579" s="73"/>
      <c r="F579" s="286"/>
      <c r="G579" s="27"/>
      <c r="I579" s="5"/>
      <c r="J579" s="183"/>
    </row>
    <row r="580">
      <c r="D580" s="285"/>
      <c r="E580" s="73"/>
      <c r="F580" s="286"/>
      <c r="G580" s="27"/>
      <c r="I580" s="5"/>
      <c r="J580" s="183"/>
    </row>
    <row r="581">
      <c r="D581" s="285"/>
      <c r="E581" s="73"/>
      <c r="F581" s="286"/>
      <c r="G581" s="27"/>
      <c r="I581" s="5"/>
      <c r="J581" s="183"/>
    </row>
    <row r="582">
      <c r="D582" s="285"/>
      <c r="E582" s="73"/>
      <c r="F582" s="286"/>
      <c r="G582" s="27"/>
      <c r="I582" s="5"/>
      <c r="J582" s="183"/>
    </row>
    <row r="583">
      <c r="D583" s="285"/>
      <c r="E583" s="73"/>
      <c r="F583" s="286"/>
      <c r="G583" s="27"/>
      <c r="I583" s="5"/>
      <c r="J583" s="183"/>
    </row>
    <row r="584">
      <c r="D584" s="285"/>
      <c r="E584" s="73"/>
      <c r="F584" s="286"/>
      <c r="G584" s="27"/>
      <c r="I584" s="5"/>
      <c r="J584" s="183"/>
    </row>
    <row r="585">
      <c r="D585" s="285"/>
      <c r="E585" s="73"/>
      <c r="F585" s="286"/>
      <c r="G585" s="27"/>
      <c r="I585" s="5"/>
      <c r="J585" s="183"/>
    </row>
    <row r="586">
      <c r="D586" s="285"/>
      <c r="E586" s="73"/>
      <c r="F586" s="286"/>
      <c r="G586" s="27"/>
      <c r="I586" s="5"/>
      <c r="J586" s="183"/>
    </row>
    <row r="587">
      <c r="D587" s="285"/>
      <c r="E587" s="73"/>
      <c r="F587" s="286"/>
      <c r="G587" s="27"/>
      <c r="I587" s="5"/>
      <c r="J587" s="183"/>
    </row>
    <row r="588">
      <c r="D588" s="285"/>
      <c r="E588" s="73"/>
      <c r="F588" s="286"/>
      <c r="G588" s="27"/>
      <c r="I588" s="5"/>
      <c r="J588" s="183"/>
    </row>
    <row r="589">
      <c r="D589" s="285"/>
      <c r="E589" s="73"/>
      <c r="F589" s="286"/>
      <c r="G589" s="27"/>
      <c r="I589" s="5"/>
      <c r="J589" s="183"/>
    </row>
    <row r="590">
      <c r="D590" s="285"/>
      <c r="E590" s="73"/>
      <c r="F590" s="286"/>
      <c r="G590" s="27"/>
      <c r="I590" s="5"/>
      <c r="J590" s="183"/>
    </row>
    <row r="591">
      <c r="D591" s="285"/>
      <c r="E591" s="73"/>
      <c r="F591" s="286"/>
      <c r="G591" s="27"/>
      <c r="I591" s="5"/>
      <c r="J591" s="183"/>
    </row>
    <row r="592">
      <c r="D592" s="285"/>
      <c r="E592" s="73"/>
      <c r="F592" s="286"/>
      <c r="G592" s="27"/>
      <c r="I592" s="5"/>
      <c r="J592" s="183"/>
    </row>
    <row r="593">
      <c r="D593" s="285"/>
      <c r="E593" s="73"/>
      <c r="F593" s="286"/>
      <c r="G593" s="27"/>
      <c r="I593" s="5"/>
      <c r="J593" s="183"/>
    </row>
    <row r="594">
      <c r="D594" s="285"/>
      <c r="E594" s="73"/>
      <c r="F594" s="286"/>
      <c r="G594" s="27"/>
      <c r="I594" s="5"/>
      <c r="J594" s="183"/>
    </row>
    <row r="595">
      <c r="D595" s="285"/>
      <c r="E595" s="73"/>
      <c r="F595" s="286"/>
      <c r="G595" s="27"/>
      <c r="I595" s="5"/>
      <c r="J595" s="183"/>
    </row>
    <row r="596">
      <c r="D596" s="285"/>
      <c r="E596" s="73"/>
      <c r="F596" s="286"/>
      <c r="G596" s="27"/>
      <c r="I596" s="5"/>
      <c r="J596" s="183"/>
    </row>
    <row r="597">
      <c r="D597" s="285"/>
      <c r="E597" s="73"/>
      <c r="F597" s="286"/>
      <c r="G597" s="27"/>
      <c r="I597" s="5"/>
      <c r="J597" s="183"/>
    </row>
    <row r="598">
      <c r="D598" s="285"/>
      <c r="E598" s="73"/>
      <c r="F598" s="286"/>
      <c r="G598" s="27"/>
      <c r="I598" s="5"/>
      <c r="J598" s="183"/>
    </row>
    <row r="599">
      <c r="D599" s="285"/>
      <c r="E599" s="73"/>
      <c r="F599" s="286"/>
      <c r="G599" s="27"/>
      <c r="I599" s="5"/>
      <c r="J599" s="183"/>
    </row>
    <row r="600">
      <c r="D600" s="285"/>
      <c r="E600" s="73"/>
      <c r="F600" s="286"/>
      <c r="G600" s="27"/>
      <c r="I600" s="5"/>
      <c r="J600" s="183"/>
    </row>
    <row r="601">
      <c r="D601" s="285"/>
      <c r="E601" s="73"/>
      <c r="F601" s="286"/>
      <c r="G601" s="27"/>
      <c r="I601" s="5"/>
      <c r="J601" s="183"/>
    </row>
    <row r="602">
      <c r="D602" s="285"/>
      <c r="E602" s="73"/>
      <c r="F602" s="286"/>
      <c r="G602" s="27"/>
      <c r="I602" s="5"/>
      <c r="J602" s="183"/>
    </row>
    <row r="603">
      <c r="D603" s="285"/>
      <c r="E603" s="73"/>
      <c r="F603" s="286"/>
      <c r="G603" s="27"/>
      <c r="I603" s="5"/>
      <c r="J603" s="183"/>
    </row>
    <row r="604">
      <c r="D604" s="285"/>
      <c r="E604" s="73"/>
      <c r="F604" s="286"/>
      <c r="G604" s="27"/>
      <c r="I604" s="5"/>
      <c r="J604" s="183"/>
    </row>
    <row r="605">
      <c r="D605" s="285"/>
      <c r="E605" s="73"/>
      <c r="F605" s="286"/>
      <c r="G605" s="27"/>
      <c r="I605" s="5"/>
      <c r="J605" s="183"/>
    </row>
    <row r="606">
      <c r="D606" s="285"/>
      <c r="E606" s="73"/>
      <c r="F606" s="286"/>
      <c r="G606" s="27"/>
      <c r="I606" s="5"/>
      <c r="J606" s="183"/>
    </row>
    <row r="607">
      <c r="D607" s="285"/>
      <c r="E607" s="73"/>
      <c r="F607" s="286"/>
      <c r="G607" s="27"/>
      <c r="I607" s="5"/>
      <c r="J607" s="183"/>
    </row>
    <row r="608">
      <c r="D608" s="285"/>
      <c r="E608" s="73"/>
      <c r="F608" s="286"/>
      <c r="G608" s="27"/>
      <c r="I608" s="5"/>
      <c r="J608" s="183"/>
    </row>
    <row r="609">
      <c r="D609" s="285"/>
      <c r="E609" s="73"/>
      <c r="F609" s="286"/>
      <c r="G609" s="27"/>
      <c r="I609" s="5"/>
      <c r="J609" s="183"/>
    </row>
    <row r="610">
      <c r="D610" s="285"/>
      <c r="E610" s="73"/>
      <c r="F610" s="286"/>
      <c r="G610" s="27"/>
      <c r="I610" s="5"/>
      <c r="J610" s="183"/>
    </row>
    <row r="611">
      <c r="D611" s="285"/>
      <c r="E611" s="73"/>
      <c r="F611" s="286"/>
      <c r="G611" s="27"/>
      <c r="I611" s="5"/>
      <c r="J611" s="183"/>
    </row>
    <row r="612">
      <c r="D612" s="285"/>
      <c r="E612" s="73"/>
      <c r="F612" s="286"/>
      <c r="G612" s="27"/>
      <c r="I612" s="5"/>
      <c r="J612" s="183"/>
    </row>
    <row r="613">
      <c r="D613" s="285"/>
      <c r="E613" s="73"/>
      <c r="F613" s="286"/>
      <c r="G613" s="27"/>
      <c r="I613" s="5"/>
      <c r="J613" s="183"/>
    </row>
    <row r="614">
      <c r="D614" s="285"/>
      <c r="E614" s="73"/>
      <c r="F614" s="286"/>
      <c r="G614" s="27"/>
      <c r="I614" s="5"/>
      <c r="J614" s="183"/>
    </row>
    <row r="615">
      <c r="D615" s="285"/>
      <c r="E615" s="73"/>
      <c r="F615" s="286"/>
      <c r="G615" s="27"/>
      <c r="I615" s="5"/>
      <c r="J615" s="183"/>
    </row>
    <row r="616">
      <c r="D616" s="285"/>
      <c r="E616" s="73"/>
      <c r="F616" s="286"/>
      <c r="G616" s="27"/>
      <c r="I616" s="5"/>
      <c r="J616" s="183"/>
    </row>
    <row r="617">
      <c r="D617" s="285"/>
      <c r="E617" s="73"/>
      <c r="F617" s="286"/>
      <c r="G617" s="27"/>
      <c r="I617" s="5"/>
      <c r="J617" s="183"/>
    </row>
    <row r="618">
      <c r="D618" s="285"/>
      <c r="E618" s="73"/>
      <c r="F618" s="286"/>
      <c r="G618" s="27"/>
      <c r="I618" s="5"/>
      <c r="J618" s="183"/>
    </row>
    <row r="619">
      <c r="D619" s="285"/>
      <c r="E619" s="73"/>
      <c r="F619" s="286"/>
      <c r="G619" s="27"/>
      <c r="I619" s="5"/>
      <c r="J619" s="183"/>
    </row>
    <row r="620">
      <c r="D620" s="285"/>
      <c r="E620" s="73"/>
      <c r="F620" s="286"/>
      <c r="G620" s="27"/>
      <c r="I620" s="5"/>
      <c r="J620" s="183"/>
    </row>
    <row r="621">
      <c r="D621" s="285"/>
      <c r="E621" s="73"/>
      <c r="F621" s="286"/>
      <c r="G621" s="27"/>
      <c r="I621" s="5"/>
      <c r="J621" s="183"/>
    </row>
    <row r="622">
      <c r="D622" s="285"/>
      <c r="E622" s="73"/>
      <c r="F622" s="286"/>
      <c r="G622" s="27"/>
      <c r="I622" s="5"/>
      <c r="J622" s="183"/>
    </row>
    <row r="623">
      <c r="D623" s="285"/>
      <c r="E623" s="73"/>
      <c r="F623" s="286"/>
      <c r="G623" s="27"/>
      <c r="I623" s="5"/>
      <c r="J623" s="183"/>
    </row>
    <row r="624">
      <c r="D624" s="285"/>
      <c r="E624" s="73"/>
      <c r="F624" s="286"/>
      <c r="G624" s="27"/>
      <c r="I624" s="5"/>
      <c r="J624" s="183"/>
    </row>
    <row r="625">
      <c r="D625" s="285"/>
      <c r="E625" s="73"/>
      <c r="F625" s="286"/>
      <c r="G625" s="27"/>
      <c r="I625" s="5"/>
      <c r="J625" s="183"/>
    </row>
    <row r="626">
      <c r="D626" s="285"/>
      <c r="E626" s="73"/>
      <c r="F626" s="286"/>
      <c r="G626" s="27"/>
      <c r="I626" s="5"/>
      <c r="J626" s="183"/>
    </row>
    <row r="627">
      <c r="D627" s="285"/>
      <c r="E627" s="73"/>
      <c r="F627" s="286"/>
      <c r="G627" s="27"/>
      <c r="I627" s="5"/>
      <c r="J627" s="183"/>
    </row>
    <row r="628">
      <c r="D628" s="285"/>
      <c r="E628" s="73"/>
      <c r="F628" s="286"/>
      <c r="G628" s="27"/>
      <c r="I628" s="5"/>
      <c r="J628" s="183"/>
    </row>
    <row r="629">
      <c r="D629" s="285"/>
      <c r="E629" s="73"/>
      <c r="F629" s="286"/>
      <c r="G629" s="27"/>
      <c r="I629" s="5"/>
      <c r="J629" s="183"/>
    </row>
    <row r="630">
      <c r="D630" s="285"/>
      <c r="E630" s="73"/>
      <c r="F630" s="286"/>
      <c r="G630" s="27"/>
      <c r="I630" s="5"/>
      <c r="J630" s="183"/>
    </row>
    <row r="631">
      <c r="D631" s="285"/>
      <c r="E631" s="73"/>
      <c r="F631" s="286"/>
      <c r="G631" s="27"/>
      <c r="I631" s="5"/>
      <c r="J631" s="183"/>
    </row>
    <row r="632">
      <c r="D632" s="285"/>
      <c r="E632" s="73"/>
      <c r="F632" s="286"/>
      <c r="G632" s="27"/>
      <c r="I632" s="5"/>
      <c r="J632" s="183"/>
    </row>
    <row r="633">
      <c r="D633" s="285"/>
      <c r="E633" s="73"/>
      <c r="F633" s="286"/>
      <c r="G633" s="27"/>
      <c r="I633" s="5"/>
      <c r="J633" s="183"/>
    </row>
    <row r="634">
      <c r="D634" s="285"/>
      <c r="E634" s="73"/>
      <c r="F634" s="286"/>
      <c r="G634" s="27"/>
      <c r="I634" s="5"/>
      <c r="J634" s="183"/>
    </row>
    <row r="635">
      <c r="D635" s="285"/>
      <c r="E635" s="73"/>
      <c r="F635" s="286"/>
      <c r="G635" s="27"/>
      <c r="I635" s="5"/>
      <c r="J635" s="183"/>
    </row>
    <row r="636">
      <c r="D636" s="285"/>
      <c r="E636" s="73"/>
      <c r="F636" s="286"/>
      <c r="G636" s="27"/>
      <c r="I636" s="5"/>
      <c r="J636" s="183"/>
    </row>
    <row r="637">
      <c r="D637" s="285"/>
      <c r="E637" s="73"/>
      <c r="F637" s="286"/>
      <c r="G637" s="27"/>
      <c r="I637" s="5"/>
      <c r="J637" s="183"/>
    </row>
    <row r="638">
      <c r="D638" s="285"/>
      <c r="E638" s="73"/>
      <c r="F638" s="286"/>
      <c r="G638" s="27"/>
      <c r="I638" s="5"/>
      <c r="J638" s="183"/>
    </row>
    <row r="639">
      <c r="D639" s="285"/>
      <c r="E639" s="73"/>
      <c r="F639" s="286"/>
      <c r="G639" s="27"/>
      <c r="I639" s="5"/>
      <c r="J639" s="183"/>
    </row>
    <row r="640">
      <c r="D640" s="285"/>
      <c r="E640" s="73"/>
      <c r="F640" s="286"/>
      <c r="G640" s="27"/>
      <c r="I640" s="5"/>
      <c r="J640" s="183"/>
    </row>
    <row r="641">
      <c r="D641" s="285"/>
      <c r="E641" s="73"/>
      <c r="F641" s="286"/>
      <c r="G641" s="27"/>
      <c r="I641" s="5"/>
      <c r="J641" s="183"/>
    </row>
    <row r="642">
      <c r="D642" s="285"/>
      <c r="E642" s="73"/>
      <c r="F642" s="286"/>
      <c r="G642" s="27"/>
      <c r="I642" s="5"/>
      <c r="J642" s="183"/>
    </row>
    <row r="643">
      <c r="D643" s="285"/>
      <c r="E643" s="73"/>
      <c r="F643" s="286"/>
      <c r="G643" s="27"/>
      <c r="I643" s="5"/>
      <c r="J643" s="183"/>
    </row>
    <row r="644">
      <c r="D644" s="285"/>
      <c r="E644" s="73"/>
      <c r="F644" s="286"/>
      <c r="G644" s="27"/>
      <c r="I644" s="5"/>
      <c r="J644" s="183"/>
    </row>
    <row r="645">
      <c r="D645" s="285"/>
      <c r="E645" s="73"/>
      <c r="F645" s="286"/>
      <c r="G645" s="27"/>
      <c r="I645" s="5"/>
      <c r="J645" s="183"/>
    </row>
    <row r="646">
      <c r="D646" s="285"/>
      <c r="E646" s="73"/>
      <c r="F646" s="286"/>
      <c r="G646" s="27"/>
      <c r="I646" s="5"/>
      <c r="J646" s="183"/>
    </row>
    <row r="647">
      <c r="D647" s="285"/>
      <c r="E647" s="73"/>
      <c r="F647" s="286"/>
      <c r="G647" s="27"/>
      <c r="I647" s="5"/>
      <c r="J647" s="183"/>
    </row>
    <row r="648">
      <c r="D648" s="285"/>
      <c r="E648" s="73"/>
      <c r="F648" s="286"/>
      <c r="G648" s="27"/>
      <c r="I648" s="5"/>
      <c r="J648" s="183"/>
    </row>
    <row r="649">
      <c r="D649" s="285"/>
      <c r="E649" s="73"/>
      <c r="F649" s="286"/>
      <c r="G649" s="27"/>
      <c r="I649" s="5"/>
      <c r="J649" s="183"/>
    </row>
    <row r="650">
      <c r="D650" s="285"/>
      <c r="E650" s="73"/>
      <c r="F650" s="286"/>
      <c r="G650" s="27"/>
      <c r="I650" s="5"/>
      <c r="J650" s="183"/>
    </row>
    <row r="651">
      <c r="D651" s="285"/>
      <c r="E651" s="73"/>
      <c r="F651" s="286"/>
      <c r="G651" s="27"/>
      <c r="I651" s="5"/>
      <c r="J651" s="183"/>
    </row>
    <row r="652">
      <c r="D652" s="285"/>
      <c r="E652" s="73"/>
      <c r="F652" s="286"/>
      <c r="G652" s="27"/>
      <c r="I652" s="5"/>
      <c r="J652" s="183"/>
    </row>
    <row r="653">
      <c r="D653" s="285"/>
      <c r="E653" s="73"/>
      <c r="F653" s="286"/>
      <c r="G653" s="27"/>
      <c r="I653" s="5"/>
      <c r="J653" s="183"/>
    </row>
    <row r="654">
      <c r="D654" s="285"/>
      <c r="E654" s="73"/>
      <c r="F654" s="286"/>
      <c r="G654" s="27"/>
      <c r="I654" s="5"/>
      <c r="J654" s="183"/>
    </row>
    <row r="655">
      <c r="D655" s="285"/>
      <c r="E655" s="73"/>
      <c r="F655" s="286"/>
      <c r="G655" s="27"/>
      <c r="I655" s="5"/>
      <c r="J655" s="183"/>
    </row>
    <row r="656">
      <c r="D656" s="285"/>
      <c r="E656" s="73"/>
      <c r="F656" s="286"/>
      <c r="G656" s="27"/>
      <c r="I656" s="5"/>
      <c r="J656" s="183"/>
    </row>
    <row r="657">
      <c r="D657" s="285"/>
      <c r="E657" s="73"/>
      <c r="F657" s="286"/>
      <c r="G657" s="27"/>
      <c r="I657" s="5"/>
      <c r="J657" s="183"/>
    </row>
    <row r="658">
      <c r="D658" s="285"/>
      <c r="E658" s="73"/>
      <c r="F658" s="286"/>
      <c r="G658" s="27"/>
      <c r="I658" s="5"/>
      <c r="J658" s="183"/>
    </row>
    <row r="659">
      <c r="D659" s="285"/>
      <c r="E659" s="73"/>
      <c r="F659" s="286"/>
      <c r="G659" s="27"/>
      <c r="I659" s="5"/>
      <c r="J659" s="183"/>
    </row>
    <row r="660">
      <c r="D660" s="285"/>
      <c r="E660" s="73"/>
      <c r="F660" s="286"/>
      <c r="G660" s="27"/>
      <c r="I660" s="5"/>
      <c r="J660" s="183"/>
    </row>
    <row r="661">
      <c r="D661" s="285"/>
      <c r="E661" s="73"/>
      <c r="F661" s="286"/>
      <c r="G661" s="27"/>
      <c r="I661" s="5"/>
      <c r="J661" s="183"/>
    </row>
    <row r="662">
      <c r="D662" s="285"/>
      <c r="E662" s="73"/>
      <c r="F662" s="286"/>
      <c r="G662" s="27"/>
      <c r="I662" s="5"/>
      <c r="J662" s="183"/>
    </row>
    <row r="663">
      <c r="D663" s="285"/>
      <c r="E663" s="73"/>
      <c r="F663" s="286"/>
      <c r="G663" s="27"/>
      <c r="I663" s="5"/>
      <c r="J663" s="183"/>
    </row>
    <row r="664">
      <c r="D664" s="285"/>
      <c r="E664" s="73"/>
      <c r="F664" s="286"/>
      <c r="G664" s="27"/>
      <c r="I664" s="5"/>
      <c r="J664" s="183"/>
    </row>
    <row r="665">
      <c r="D665" s="285"/>
      <c r="E665" s="73"/>
      <c r="F665" s="286"/>
      <c r="G665" s="27"/>
      <c r="I665" s="5"/>
      <c r="J665" s="183"/>
    </row>
    <row r="666">
      <c r="D666" s="285"/>
      <c r="E666" s="73"/>
      <c r="F666" s="286"/>
      <c r="G666" s="27"/>
      <c r="I666" s="5"/>
      <c r="J666" s="183"/>
    </row>
    <row r="667">
      <c r="D667" s="285"/>
      <c r="E667" s="73"/>
      <c r="F667" s="286"/>
      <c r="G667" s="27"/>
      <c r="I667" s="5"/>
      <c r="J667" s="183"/>
    </row>
    <row r="668">
      <c r="D668" s="285"/>
      <c r="E668" s="73"/>
      <c r="F668" s="286"/>
      <c r="G668" s="27"/>
      <c r="I668" s="5"/>
      <c r="J668" s="183"/>
    </row>
    <row r="669">
      <c r="D669" s="285"/>
      <c r="E669" s="73"/>
      <c r="F669" s="286"/>
      <c r="G669" s="27"/>
      <c r="I669" s="5"/>
      <c r="J669" s="183"/>
    </row>
    <row r="670">
      <c r="D670" s="285"/>
      <c r="E670" s="73"/>
      <c r="F670" s="286"/>
      <c r="G670" s="27"/>
      <c r="I670" s="5"/>
      <c r="J670" s="183"/>
    </row>
    <row r="671">
      <c r="D671" s="285"/>
      <c r="E671" s="73"/>
      <c r="F671" s="286"/>
      <c r="G671" s="27"/>
      <c r="I671" s="5"/>
      <c r="J671" s="183"/>
    </row>
    <row r="672">
      <c r="D672" s="285"/>
      <c r="E672" s="73"/>
      <c r="F672" s="286"/>
      <c r="G672" s="27"/>
      <c r="I672" s="5"/>
      <c r="J672" s="183"/>
    </row>
    <row r="673">
      <c r="D673" s="285"/>
      <c r="E673" s="73"/>
      <c r="F673" s="286"/>
      <c r="G673" s="27"/>
      <c r="I673" s="5"/>
      <c r="J673" s="183"/>
    </row>
    <row r="674">
      <c r="D674" s="285"/>
      <c r="E674" s="73"/>
      <c r="F674" s="286"/>
      <c r="G674" s="27"/>
      <c r="I674" s="5"/>
      <c r="J674" s="183"/>
    </row>
    <row r="675">
      <c r="D675" s="285"/>
      <c r="E675" s="73"/>
      <c r="F675" s="286"/>
      <c r="G675" s="27"/>
      <c r="I675" s="5"/>
      <c r="J675" s="183"/>
    </row>
    <row r="676">
      <c r="D676" s="285"/>
      <c r="E676" s="73"/>
      <c r="F676" s="286"/>
      <c r="G676" s="27"/>
      <c r="I676" s="5"/>
      <c r="J676" s="183"/>
    </row>
    <row r="677">
      <c r="D677" s="285"/>
      <c r="E677" s="73"/>
      <c r="F677" s="286"/>
      <c r="G677" s="27"/>
      <c r="I677" s="5"/>
      <c r="J677" s="183"/>
    </row>
    <row r="678">
      <c r="D678" s="285"/>
      <c r="E678" s="73"/>
      <c r="F678" s="286"/>
      <c r="G678" s="27"/>
      <c r="I678" s="5"/>
      <c r="J678" s="183"/>
    </row>
    <row r="679">
      <c r="D679" s="285"/>
      <c r="E679" s="73"/>
      <c r="F679" s="286"/>
      <c r="G679" s="27"/>
      <c r="I679" s="5"/>
      <c r="J679" s="183"/>
    </row>
    <row r="680">
      <c r="D680" s="285"/>
      <c r="E680" s="73"/>
      <c r="F680" s="286"/>
      <c r="G680" s="27"/>
      <c r="I680" s="5"/>
      <c r="J680" s="183"/>
    </row>
    <row r="681">
      <c r="D681" s="285"/>
      <c r="E681" s="73"/>
      <c r="F681" s="286"/>
      <c r="G681" s="27"/>
      <c r="I681" s="5"/>
      <c r="J681" s="183"/>
    </row>
    <row r="682">
      <c r="D682" s="285"/>
      <c r="E682" s="73"/>
      <c r="F682" s="286"/>
      <c r="G682" s="27"/>
      <c r="I682" s="5"/>
      <c r="J682" s="183"/>
    </row>
    <row r="683">
      <c r="D683" s="285"/>
      <c r="E683" s="73"/>
      <c r="F683" s="286"/>
      <c r="G683" s="27"/>
      <c r="I683" s="5"/>
      <c r="J683" s="183"/>
    </row>
    <row r="684">
      <c r="D684" s="285"/>
      <c r="E684" s="73"/>
      <c r="F684" s="286"/>
      <c r="G684" s="27"/>
      <c r="I684" s="5"/>
      <c r="J684" s="183"/>
    </row>
    <row r="685">
      <c r="D685" s="285"/>
      <c r="E685" s="73"/>
      <c r="F685" s="286"/>
      <c r="G685" s="27"/>
      <c r="I685" s="5"/>
      <c r="J685" s="183"/>
    </row>
    <row r="686">
      <c r="D686" s="285"/>
      <c r="E686" s="73"/>
      <c r="F686" s="286"/>
      <c r="G686" s="27"/>
      <c r="I686" s="5"/>
      <c r="J686" s="183"/>
    </row>
    <row r="687">
      <c r="D687" s="285"/>
      <c r="E687" s="73"/>
      <c r="F687" s="286"/>
      <c r="G687" s="27"/>
      <c r="I687" s="5"/>
      <c r="J687" s="183"/>
    </row>
    <row r="688">
      <c r="D688" s="285"/>
      <c r="E688" s="73"/>
      <c r="F688" s="286"/>
      <c r="G688" s="27"/>
      <c r="I688" s="5"/>
      <c r="J688" s="183"/>
    </row>
    <row r="689">
      <c r="D689" s="285"/>
      <c r="E689" s="73"/>
      <c r="F689" s="286"/>
      <c r="G689" s="27"/>
      <c r="I689" s="5"/>
      <c r="J689" s="183"/>
    </row>
    <row r="690">
      <c r="D690" s="285"/>
      <c r="E690" s="73"/>
      <c r="F690" s="286"/>
      <c r="G690" s="27"/>
      <c r="I690" s="5"/>
      <c r="J690" s="183"/>
    </row>
    <row r="691">
      <c r="D691" s="285"/>
      <c r="E691" s="73"/>
      <c r="F691" s="286"/>
      <c r="G691" s="27"/>
      <c r="I691" s="5"/>
      <c r="J691" s="183"/>
    </row>
    <row r="692">
      <c r="D692" s="285"/>
      <c r="E692" s="73"/>
      <c r="F692" s="286"/>
      <c r="G692" s="27"/>
      <c r="I692" s="5"/>
      <c r="J692" s="183"/>
    </row>
    <row r="693">
      <c r="D693" s="285"/>
      <c r="E693" s="73"/>
      <c r="F693" s="286"/>
      <c r="G693" s="27"/>
      <c r="I693" s="5"/>
      <c r="J693" s="183"/>
    </row>
    <row r="694">
      <c r="D694" s="285"/>
      <c r="E694" s="73"/>
      <c r="F694" s="286"/>
      <c r="G694" s="27"/>
      <c r="I694" s="5"/>
      <c r="J694" s="183"/>
    </row>
    <row r="695">
      <c r="D695" s="285"/>
      <c r="E695" s="73"/>
      <c r="F695" s="286"/>
      <c r="G695" s="27"/>
      <c r="I695" s="5"/>
      <c r="J695" s="183"/>
    </row>
    <row r="696">
      <c r="D696" s="285"/>
      <c r="E696" s="73"/>
      <c r="F696" s="286"/>
      <c r="G696" s="27"/>
      <c r="I696" s="5"/>
      <c r="J696" s="183"/>
    </row>
    <row r="697">
      <c r="D697" s="285"/>
      <c r="E697" s="73"/>
      <c r="F697" s="286"/>
      <c r="G697" s="27"/>
      <c r="I697" s="5"/>
      <c r="J697" s="183"/>
    </row>
    <row r="698">
      <c r="D698" s="285"/>
      <c r="E698" s="73"/>
      <c r="F698" s="286"/>
      <c r="G698" s="27"/>
      <c r="I698" s="5"/>
      <c r="J698" s="183"/>
    </row>
    <row r="699">
      <c r="D699" s="285"/>
      <c r="E699" s="73"/>
      <c r="F699" s="286"/>
      <c r="G699" s="27"/>
      <c r="I699" s="5"/>
      <c r="J699" s="183"/>
    </row>
    <row r="700">
      <c r="D700" s="285"/>
      <c r="E700" s="73"/>
      <c r="F700" s="286"/>
      <c r="G700" s="27"/>
      <c r="I700" s="5"/>
      <c r="J700" s="183"/>
    </row>
    <row r="701">
      <c r="D701" s="285"/>
      <c r="E701" s="73"/>
      <c r="F701" s="286"/>
      <c r="G701" s="27"/>
      <c r="I701" s="5"/>
      <c r="J701" s="183"/>
    </row>
    <row r="702">
      <c r="D702" s="285"/>
      <c r="E702" s="73"/>
      <c r="F702" s="286"/>
      <c r="G702" s="27"/>
      <c r="I702" s="5"/>
      <c r="J702" s="183"/>
    </row>
    <row r="703">
      <c r="D703" s="285"/>
      <c r="E703" s="73"/>
      <c r="F703" s="286"/>
      <c r="G703" s="27"/>
      <c r="I703" s="5"/>
      <c r="J703" s="183"/>
    </row>
    <row r="704">
      <c r="D704" s="285"/>
      <c r="E704" s="73"/>
      <c r="F704" s="286"/>
      <c r="G704" s="27"/>
      <c r="I704" s="5"/>
      <c r="J704" s="183"/>
    </row>
    <row r="705">
      <c r="D705" s="285"/>
      <c r="E705" s="73"/>
      <c r="F705" s="286"/>
      <c r="G705" s="27"/>
      <c r="I705" s="5"/>
      <c r="J705" s="183"/>
    </row>
    <row r="706">
      <c r="D706" s="285"/>
      <c r="E706" s="73"/>
      <c r="F706" s="286"/>
      <c r="G706" s="27"/>
      <c r="I706" s="5"/>
      <c r="J706" s="183"/>
    </row>
    <row r="707">
      <c r="D707" s="285"/>
      <c r="E707" s="73"/>
      <c r="F707" s="286"/>
      <c r="G707" s="27"/>
      <c r="I707" s="5"/>
      <c r="J707" s="183"/>
    </row>
    <row r="708">
      <c r="D708" s="285"/>
      <c r="E708" s="73"/>
      <c r="F708" s="286"/>
      <c r="G708" s="27"/>
      <c r="I708" s="5"/>
      <c r="J708" s="183"/>
    </row>
    <row r="709">
      <c r="D709" s="285"/>
      <c r="E709" s="73"/>
      <c r="F709" s="286"/>
      <c r="G709" s="27"/>
      <c r="I709" s="5"/>
      <c r="J709" s="183"/>
    </row>
    <row r="710">
      <c r="D710" s="285"/>
      <c r="E710" s="73"/>
      <c r="F710" s="286"/>
      <c r="G710" s="27"/>
      <c r="I710" s="5"/>
      <c r="J710" s="183"/>
    </row>
    <row r="711">
      <c r="D711" s="285"/>
      <c r="E711" s="73"/>
      <c r="F711" s="286"/>
      <c r="G711" s="27"/>
      <c r="I711" s="5"/>
      <c r="J711" s="183"/>
    </row>
    <row r="712">
      <c r="D712" s="285"/>
      <c r="E712" s="73"/>
      <c r="F712" s="286"/>
      <c r="G712" s="27"/>
      <c r="I712" s="5"/>
      <c r="J712" s="183"/>
    </row>
    <row r="713">
      <c r="D713" s="285"/>
      <c r="E713" s="73"/>
      <c r="F713" s="286"/>
      <c r="G713" s="27"/>
      <c r="I713" s="5"/>
      <c r="J713" s="183"/>
    </row>
    <row r="714">
      <c r="D714" s="285"/>
      <c r="E714" s="73"/>
      <c r="F714" s="286"/>
      <c r="G714" s="27"/>
      <c r="I714" s="5"/>
      <c r="J714" s="183"/>
    </row>
    <row r="715">
      <c r="D715" s="285"/>
      <c r="E715" s="73"/>
      <c r="F715" s="286"/>
      <c r="G715" s="27"/>
      <c r="I715" s="5"/>
      <c r="J715" s="183"/>
    </row>
    <row r="716">
      <c r="D716" s="285"/>
      <c r="E716" s="73"/>
      <c r="F716" s="286"/>
      <c r="G716" s="27"/>
      <c r="I716" s="5"/>
      <c r="J716" s="183"/>
    </row>
    <row r="717">
      <c r="D717" s="285"/>
      <c r="E717" s="73"/>
      <c r="F717" s="286"/>
      <c r="G717" s="27"/>
      <c r="I717" s="5"/>
      <c r="J717" s="183"/>
    </row>
    <row r="718">
      <c r="D718" s="285"/>
      <c r="E718" s="73"/>
      <c r="F718" s="286"/>
      <c r="G718" s="27"/>
      <c r="I718" s="5"/>
      <c r="J718" s="183"/>
    </row>
    <row r="719">
      <c r="D719" s="285"/>
      <c r="E719" s="73"/>
      <c r="F719" s="286"/>
      <c r="G719" s="27"/>
      <c r="I719" s="5"/>
      <c r="J719" s="183"/>
    </row>
    <row r="720">
      <c r="D720" s="285"/>
      <c r="E720" s="73"/>
      <c r="F720" s="286"/>
      <c r="G720" s="27"/>
      <c r="I720" s="5"/>
      <c r="J720" s="183"/>
    </row>
    <row r="721">
      <c r="D721" s="285"/>
      <c r="E721" s="73"/>
      <c r="F721" s="286"/>
      <c r="G721" s="27"/>
      <c r="I721" s="5"/>
      <c r="J721" s="183"/>
    </row>
    <row r="722">
      <c r="D722" s="285"/>
      <c r="E722" s="73"/>
      <c r="F722" s="286"/>
      <c r="G722" s="27"/>
      <c r="I722" s="5"/>
      <c r="J722" s="183"/>
    </row>
    <row r="723">
      <c r="D723" s="285"/>
      <c r="E723" s="73"/>
      <c r="F723" s="286"/>
      <c r="G723" s="27"/>
      <c r="I723" s="5"/>
      <c r="J723" s="183"/>
    </row>
    <row r="724">
      <c r="D724" s="285"/>
      <c r="E724" s="73"/>
      <c r="F724" s="286"/>
      <c r="G724" s="27"/>
      <c r="I724" s="5"/>
      <c r="J724" s="183"/>
    </row>
    <row r="725">
      <c r="D725" s="285"/>
      <c r="E725" s="73"/>
      <c r="F725" s="286"/>
      <c r="G725" s="27"/>
      <c r="I725" s="5"/>
      <c r="J725" s="183"/>
    </row>
    <row r="726">
      <c r="D726" s="285"/>
      <c r="E726" s="73"/>
      <c r="F726" s="286"/>
      <c r="G726" s="27"/>
      <c r="I726" s="5"/>
      <c r="J726" s="183"/>
    </row>
    <row r="727">
      <c r="D727" s="285"/>
      <c r="E727" s="73"/>
      <c r="F727" s="286"/>
      <c r="G727" s="27"/>
      <c r="I727" s="5"/>
      <c r="J727" s="183"/>
    </row>
    <row r="728">
      <c r="D728" s="285"/>
      <c r="E728" s="73"/>
      <c r="F728" s="286"/>
      <c r="G728" s="27"/>
      <c r="I728" s="5"/>
      <c r="J728" s="183"/>
    </row>
    <row r="729">
      <c r="D729" s="285"/>
      <c r="E729" s="73"/>
      <c r="F729" s="286"/>
      <c r="G729" s="27"/>
      <c r="I729" s="5"/>
      <c r="J729" s="183"/>
    </row>
    <row r="730">
      <c r="D730" s="285"/>
      <c r="E730" s="73"/>
      <c r="F730" s="286"/>
      <c r="G730" s="27"/>
      <c r="I730" s="5"/>
      <c r="J730" s="183"/>
    </row>
    <row r="731">
      <c r="D731" s="285"/>
      <c r="E731" s="73"/>
      <c r="F731" s="286"/>
      <c r="G731" s="27"/>
      <c r="I731" s="5"/>
      <c r="J731" s="183"/>
    </row>
    <row r="732">
      <c r="D732" s="285"/>
      <c r="E732" s="73"/>
      <c r="F732" s="286"/>
      <c r="G732" s="27"/>
      <c r="I732" s="5"/>
      <c r="J732" s="183"/>
    </row>
    <row r="733">
      <c r="D733" s="285"/>
      <c r="E733" s="73"/>
      <c r="F733" s="286"/>
      <c r="G733" s="27"/>
      <c r="I733" s="5"/>
      <c r="J733" s="183"/>
    </row>
    <row r="734">
      <c r="D734" s="285"/>
      <c r="E734" s="73"/>
      <c r="F734" s="286"/>
      <c r="G734" s="27"/>
      <c r="I734" s="5"/>
      <c r="J734" s="183"/>
    </row>
    <row r="735">
      <c r="D735" s="285"/>
      <c r="E735" s="73"/>
      <c r="F735" s="286"/>
      <c r="G735" s="27"/>
      <c r="I735" s="5"/>
      <c r="J735" s="183"/>
    </row>
    <row r="736">
      <c r="D736" s="285"/>
      <c r="E736" s="73"/>
      <c r="F736" s="286"/>
      <c r="G736" s="27"/>
      <c r="I736" s="5"/>
      <c r="J736" s="183"/>
    </row>
    <row r="737">
      <c r="D737" s="285"/>
      <c r="E737" s="73"/>
      <c r="F737" s="286"/>
      <c r="G737" s="27"/>
      <c r="I737" s="5"/>
      <c r="J737" s="183"/>
    </row>
    <row r="738">
      <c r="D738" s="285"/>
      <c r="E738" s="73"/>
      <c r="F738" s="286"/>
      <c r="G738" s="27"/>
      <c r="I738" s="5"/>
      <c r="J738" s="183"/>
    </row>
    <row r="739">
      <c r="D739" s="285"/>
      <c r="E739" s="73"/>
      <c r="F739" s="286"/>
      <c r="G739" s="27"/>
      <c r="I739" s="5"/>
      <c r="J739" s="183"/>
    </row>
    <row r="740">
      <c r="D740" s="285"/>
      <c r="E740" s="73"/>
      <c r="F740" s="286"/>
      <c r="G740" s="27"/>
      <c r="I740" s="5"/>
      <c r="J740" s="183"/>
    </row>
    <row r="741">
      <c r="D741" s="285"/>
      <c r="E741" s="73"/>
      <c r="F741" s="286"/>
      <c r="G741" s="27"/>
      <c r="I741" s="5"/>
      <c r="J741" s="183"/>
    </row>
    <row r="742">
      <c r="D742" s="285"/>
      <c r="E742" s="73"/>
      <c r="F742" s="286"/>
      <c r="G742" s="27"/>
      <c r="I742" s="5"/>
      <c r="J742" s="183"/>
    </row>
    <row r="743">
      <c r="D743" s="285"/>
      <c r="E743" s="73"/>
      <c r="F743" s="286"/>
      <c r="G743" s="27"/>
      <c r="I743" s="5"/>
      <c r="J743" s="183"/>
    </row>
    <row r="744">
      <c r="D744" s="285"/>
      <c r="E744" s="73"/>
      <c r="F744" s="286"/>
      <c r="G744" s="27"/>
      <c r="I744" s="5"/>
      <c r="J744" s="183"/>
    </row>
    <row r="745">
      <c r="D745" s="285"/>
      <c r="E745" s="73"/>
      <c r="F745" s="286"/>
      <c r="G745" s="27"/>
      <c r="I745" s="5"/>
      <c r="J745" s="183"/>
    </row>
    <row r="746">
      <c r="D746" s="285"/>
      <c r="E746" s="73"/>
      <c r="F746" s="286"/>
      <c r="G746" s="27"/>
      <c r="I746" s="5"/>
      <c r="J746" s="183"/>
    </row>
    <row r="747">
      <c r="D747" s="285"/>
      <c r="E747" s="73"/>
      <c r="F747" s="286"/>
      <c r="G747" s="27"/>
      <c r="I747" s="5"/>
      <c r="J747" s="183"/>
    </row>
    <row r="748">
      <c r="D748" s="285"/>
      <c r="E748" s="73"/>
      <c r="F748" s="286"/>
      <c r="G748" s="27"/>
      <c r="I748" s="5"/>
      <c r="J748" s="183"/>
    </row>
    <row r="749">
      <c r="D749" s="285"/>
      <c r="E749" s="73"/>
      <c r="F749" s="286"/>
      <c r="G749" s="27"/>
      <c r="I749" s="5"/>
      <c r="J749" s="183"/>
    </row>
    <row r="750">
      <c r="D750" s="285"/>
      <c r="E750" s="73"/>
      <c r="F750" s="286"/>
      <c r="G750" s="27"/>
      <c r="I750" s="5"/>
      <c r="J750" s="183"/>
    </row>
    <row r="751">
      <c r="D751" s="285"/>
      <c r="E751" s="73"/>
      <c r="F751" s="286"/>
      <c r="G751" s="27"/>
      <c r="I751" s="5"/>
      <c r="J751" s="183"/>
    </row>
    <row r="752">
      <c r="D752" s="285"/>
      <c r="E752" s="73"/>
      <c r="F752" s="286"/>
      <c r="G752" s="27"/>
      <c r="I752" s="5"/>
      <c r="J752" s="183"/>
    </row>
    <row r="753">
      <c r="D753" s="285"/>
      <c r="E753" s="73"/>
      <c r="F753" s="286"/>
      <c r="G753" s="27"/>
      <c r="I753" s="5"/>
      <c r="J753" s="183"/>
    </row>
    <row r="754">
      <c r="D754" s="285"/>
      <c r="E754" s="73"/>
      <c r="F754" s="286"/>
      <c r="G754" s="27"/>
      <c r="I754" s="5"/>
      <c r="J754" s="183"/>
    </row>
    <row r="755">
      <c r="D755" s="285"/>
      <c r="E755" s="73"/>
      <c r="F755" s="286"/>
      <c r="G755" s="27"/>
      <c r="I755" s="5"/>
      <c r="J755" s="183"/>
    </row>
    <row r="756">
      <c r="D756" s="285"/>
      <c r="E756" s="73"/>
      <c r="F756" s="286"/>
      <c r="G756" s="27"/>
      <c r="I756" s="5"/>
      <c r="J756" s="183"/>
    </row>
    <row r="757">
      <c r="D757" s="285"/>
      <c r="E757" s="73"/>
      <c r="F757" s="286"/>
      <c r="G757" s="27"/>
      <c r="I757" s="5"/>
      <c r="J757" s="183"/>
    </row>
    <row r="758">
      <c r="D758" s="285"/>
      <c r="E758" s="73"/>
      <c r="F758" s="286"/>
      <c r="G758" s="27"/>
      <c r="I758" s="5"/>
      <c r="J758" s="183"/>
    </row>
    <row r="759">
      <c r="D759" s="285"/>
      <c r="E759" s="73"/>
      <c r="F759" s="286"/>
      <c r="G759" s="27"/>
      <c r="I759" s="5"/>
      <c r="J759" s="183"/>
    </row>
    <row r="760">
      <c r="D760" s="285"/>
      <c r="E760" s="73"/>
      <c r="F760" s="286"/>
      <c r="G760" s="27"/>
      <c r="I760" s="5"/>
      <c r="J760" s="183"/>
    </row>
    <row r="761">
      <c r="D761" s="285"/>
      <c r="E761" s="73"/>
      <c r="F761" s="286"/>
      <c r="G761" s="27"/>
      <c r="I761" s="5"/>
      <c r="J761" s="183"/>
    </row>
    <row r="762">
      <c r="D762" s="285"/>
      <c r="E762" s="73"/>
      <c r="F762" s="286"/>
      <c r="G762" s="27"/>
      <c r="I762" s="5"/>
      <c r="J762" s="183"/>
    </row>
    <row r="763">
      <c r="D763" s="285"/>
      <c r="E763" s="73"/>
      <c r="F763" s="286"/>
      <c r="G763" s="27"/>
      <c r="I763" s="5"/>
      <c r="J763" s="183"/>
    </row>
    <row r="764">
      <c r="D764" s="285"/>
      <c r="E764" s="73"/>
      <c r="F764" s="286"/>
      <c r="G764" s="27"/>
      <c r="I764" s="5"/>
      <c r="J764" s="183"/>
    </row>
    <row r="765">
      <c r="D765" s="285"/>
      <c r="E765" s="73"/>
      <c r="F765" s="286"/>
      <c r="G765" s="27"/>
      <c r="I765" s="5"/>
      <c r="J765" s="183"/>
    </row>
    <row r="766">
      <c r="D766" s="285"/>
      <c r="E766" s="73"/>
      <c r="F766" s="286"/>
      <c r="G766" s="27"/>
      <c r="I766" s="5"/>
      <c r="J766" s="183"/>
    </row>
    <row r="767">
      <c r="D767" s="285"/>
      <c r="E767" s="73"/>
      <c r="F767" s="286"/>
      <c r="G767" s="27"/>
      <c r="I767" s="5"/>
      <c r="J767" s="183"/>
    </row>
    <row r="768">
      <c r="D768" s="285"/>
      <c r="E768" s="73"/>
      <c r="F768" s="286"/>
      <c r="G768" s="27"/>
      <c r="I768" s="5"/>
      <c r="J768" s="183"/>
    </row>
    <row r="769">
      <c r="D769" s="285"/>
      <c r="E769" s="73"/>
      <c r="F769" s="286"/>
      <c r="G769" s="27"/>
      <c r="I769" s="5"/>
      <c r="J769" s="183"/>
    </row>
    <row r="770">
      <c r="D770" s="285"/>
      <c r="E770" s="73"/>
      <c r="F770" s="286"/>
      <c r="G770" s="27"/>
      <c r="I770" s="5"/>
      <c r="J770" s="183"/>
    </row>
    <row r="771">
      <c r="D771" s="285"/>
      <c r="E771" s="73"/>
      <c r="F771" s="286"/>
      <c r="G771" s="27"/>
      <c r="I771" s="5"/>
      <c r="J771" s="183"/>
    </row>
    <row r="772">
      <c r="D772" s="285"/>
      <c r="E772" s="73"/>
      <c r="F772" s="286"/>
      <c r="G772" s="27"/>
      <c r="I772" s="5"/>
      <c r="J772" s="183"/>
    </row>
    <row r="773">
      <c r="D773" s="285"/>
      <c r="E773" s="73"/>
      <c r="F773" s="286"/>
      <c r="G773" s="27"/>
      <c r="I773" s="5"/>
      <c r="J773" s="183"/>
    </row>
    <row r="774">
      <c r="D774" s="285"/>
      <c r="E774" s="73"/>
      <c r="F774" s="286"/>
      <c r="G774" s="27"/>
      <c r="I774" s="5"/>
      <c r="J774" s="183"/>
    </row>
    <row r="775">
      <c r="D775" s="285"/>
      <c r="E775" s="73"/>
      <c r="F775" s="286"/>
      <c r="G775" s="27"/>
      <c r="I775" s="5"/>
      <c r="J775" s="183"/>
    </row>
    <row r="776">
      <c r="D776" s="285"/>
      <c r="E776" s="73"/>
      <c r="F776" s="286"/>
      <c r="G776" s="27"/>
      <c r="I776" s="5"/>
      <c r="J776" s="183"/>
    </row>
    <row r="777">
      <c r="D777" s="285"/>
      <c r="E777" s="73"/>
      <c r="F777" s="286"/>
      <c r="G777" s="27"/>
      <c r="I777" s="5"/>
      <c r="J777" s="183"/>
    </row>
    <row r="778">
      <c r="D778" s="285"/>
      <c r="E778" s="73"/>
      <c r="F778" s="286"/>
      <c r="G778" s="27"/>
      <c r="I778" s="5"/>
      <c r="J778" s="183"/>
    </row>
    <row r="779">
      <c r="D779" s="285"/>
      <c r="E779" s="73"/>
      <c r="F779" s="286"/>
      <c r="G779" s="27"/>
      <c r="I779" s="5"/>
      <c r="J779" s="183"/>
    </row>
    <row r="780">
      <c r="D780" s="285"/>
      <c r="E780" s="73"/>
      <c r="F780" s="286"/>
      <c r="G780" s="27"/>
      <c r="I780" s="5"/>
      <c r="J780" s="183"/>
    </row>
    <row r="781">
      <c r="D781" s="285"/>
      <c r="E781" s="73"/>
      <c r="F781" s="286"/>
      <c r="G781" s="27"/>
      <c r="I781" s="5"/>
      <c r="J781" s="183"/>
    </row>
    <row r="782">
      <c r="D782" s="285"/>
      <c r="E782" s="73"/>
      <c r="F782" s="286"/>
      <c r="G782" s="27"/>
      <c r="I782" s="5"/>
      <c r="J782" s="183"/>
    </row>
    <row r="783">
      <c r="D783" s="285"/>
      <c r="E783" s="73"/>
      <c r="F783" s="286"/>
      <c r="G783" s="27"/>
      <c r="I783" s="5"/>
      <c r="J783" s="183"/>
    </row>
    <row r="784">
      <c r="D784" s="285"/>
      <c r="E784" s="73"/>
      <c r="F784" s="286"/>
      <c r="G784" s="27"/>
      <c r="I784" s="5"/>
      <c r="J784" s="183"/>
    </row>
    <row r="785">
      <c r="D785" s="285"/>
      <c r="E785" s="73"/>
      <c r="F785" s="286"/>
      <c r="G785" s="27"/>
      <c r="I785" s="5"/>
      <c r="J785" s="183"/>
    </row>
    <row r="786">
      <c r="D786" s="285"/>
      <c r="E786" s="73"/>
      <c r="F786" s="286"/>
      <c r="G786" s="27"/>
      <c r="I786" s="5"/>
      <c r="J786" s="183"/>
    </row>
    <row r="787">
      <c r="D787" s="285"/>
      <c r="E787" s="73"/>
      <c r="F787" s="286"/>
      <c r="G787" s="27"/>
      <c r="I787" s="5"/>
      <c r="J787" s="183"/>
    </row>
    <row r="788">
      <c r="D788" s="285"/>
      <c r="E788" s="73"/>
      <c r="F788" s="286"/>
      <c r="G788" s="27"/>
      <c r="I788" s="5"/>
      <c r="J788" s="183"/>
    </row>
    <row r="789">
      <c r="D789" s="285"/>
      <c r="E789" s="73"/>
      <c r="F789" s="286"/>
      <c r="G789" s="27"/>
      <c r="I789" s="5"/>
      <c r="J789" s="183"/>
    </row>
    <row r="790">
      <c r="D790" s="285"/>
      <c r="E790" s="73"/>
      <c r="F790" s="286"/>
      <c r="G790" s="27"/>
      <c r="I790" s="5"/>
      <c r="J790" s="183"/>
    </row>
    <row r="791">
      <c r="D791" s="285"/>
      <c r="E791" s="73"/>
      <c r="F791" s="286"/>
      <c r="G791" s="27"/>
      <c r="I791" s="5"/>
      <c r="J791" s="183"/>
    </row>
    <row r="792">
      <c r="D792" s="285"/>
      <c r="E792" s="73"/>
      <c r="F792" s="286"/>
      <c r="G792" s="27"/>
      <c r="I792" s="5"/>
      <c r="J792" s="183"/>
    </row>
    <row r="793">
      <c r="D793" s="285"/>
      <c r="E793" s="73"/>
      <c r="F793" s="286"/>
      <c r="G793" s="27"/>
      <c r="I793" s="5"/>
      <c r="J793" s="183"/>
    </row>
    <row r="794">
      <c r="D794" s="285"/>
      <c r="E794" s="73"/>
      <c r="F794" s="286"/>
      <c r="G794" s="27"/>
      <c r="I794" s="5"/>
      <c r="J794" s="183"/>
    </row>
    <row r="795">
      <c r="D795" s="285"/>
      <c r="E795" s="73"/>
      <c r="F795" s="286"/>
      <c r="G795" s="27"/>
      <c r="I795" s="5"/>
      <c r="J795" s="183"/>
    </row>
    <row r="796">
      <c r="D796" s="285"/>
      <c r="E796" s="73"/>
      <c r="F796" s="286"/>
      <c r="G796" s="27"/>
      <c r="I796" s="5"/>
      <c r="J796" s="183"/>
    </row>
    <row r="797">
      <c r="D797" s="285"/>
      <c r="E797" s="73"/>
      <c r="F797" s="286"/>
      <c r="G797" s="27"/>
      <c r="I797" s="5"/>
      <c r="J797" s="183"/>
    </row>
    <row r="798">
      <c r="D798" s="285"/>
      <c r="E798" s="73"/>
      <c r="F798" s="286"/>
      <c r="G798" s="27"/>
      <c r="I798" s="5"/>
      <c r="J798" s="183"/>
    </row>
    <row r="799">
      <c r="D799" s="285"/>
      <c r="E799" s="73"/>
      <c r="F799" s="286"/>
      <c r="G799" s="27"/>
      <c r="I799" s="5"/>
      <c r="J799" s="183"/>
    </row>
    <row r="800">
      <c r="D800" s="285"/>
      <c r="E800" s="73"/>
      <c r="F800" s="286"/>
      <c r="G800" s="27"/>
      <c r="I800" s="5"/>
      <c r="J800" s="183"/>
    </row>
    <row r="801">
      <c r="D801" s="285"/>
      <c r="E801" s="73"/>
      <c r="F801" s="286"/>
      <c r="G801" s="27"/>
      <c r="I801" s="5"/>
      <c r="J801" s="183"/>
    </row>
    <row r="802">
      <c r="D802" s="285"/>
      <c r="E802" s="73"/>
      <c r="F802" s="286"/>
      <c r="G802" s="27"/>
      <c r="I802" s="5"/>
      <c r="J802" s="183"/>
    </row>
    <row r="803">
      <c r="D803" s="285"/>
      <c r="E803" s="73"/>
      <c r="F803" s="286"/>
      <c r="G803" s="27"/>
      <c r="I803" s="5"/>
      <c r="J803" s="183"/>
    </row>
    <row r="804">
      <c r="D804" s="285"/>
      <c r="E804" s="73"/>
      <c r="F804" s="286"/>
      <c r="G804" s="27"/>
      <c r="I804" s="5"/>
      <c r="J804" s="183"/>
    </row>
    <row r="805">
      <c r="D805" s="285"/>
      <c r="E805" s="73"/>
      <c r="F805" s="286"/>
      <c r="G805" s="27"/>
      <c r="I805" s="5"/>
      <c r="J805" s="183"/>
    </row>
    <row r="806">
      <c r="D806" s="285"/>
      <c r="E806" s="73"/>
      <c r="F806" s="286"/>
      <c r="G806" s="27"/>
      <c r="I806" s="5"/>
      <c r="J806" s="183"/>
    </row>
    <row r="807">
      <c r="D807" s="285"/>
      <c r="E807" s="73"/>
      <c r="F807" s="286"/>
      <c r="G807" s="27"/>
      <c r="I807" s="5"/>
      <c r="J807" s="183"/>
    </row>
    <row r="808">
      <c r="D808" s="285"/>
      <c r="E808" s="73"/>
      <c r="F808" s="286"/>
      <c r="G808" s="27"/>
      <c r="I808" s="5"/>
      <c r="J808" s="183"/>
    </row>
    <row r="809">
      <c r="D809" s="285"/>
      <c r="E809" s="73"/>
      <c r="F809" s="286"/>
      <c r="G809" s="27"/>
      <c r="I809" s="5"/>
      <c r="J809" s="183"/>
    </row>
    <row r="810">
      <c r="D810" s="285"/>
      <c r="E810" s="73"/>
      <c r="F810" s="286"/>
      <c r="G810" s="27"/>
      <c r="I810" s="5"/>
      <c r="J810" s="183"/>
    </row>
    <row r="811">
      <c r="D811" s="285"/>
      <c r="E811" s="73"/>
      <c r="F811" s="286"/>
      <c r="G811" s="27"/>
      <c r="I811" s="5"/>
      <c r="J811" s="183"/>
    </row>
    <row r="812">
      <c r="D812" s="285"/>
      <c r="E812" s="73"/>
      <c r="F812" s="286"/>
      <c r="G812" s="27"/>
      <c r="I812" s="5"/>
      <c r="J812" s="183"/>
    </row>
    <row r="813">
      <c r="D813" s="285"/>
      <c r="E813" s="73"/>
      <c r="F813" s="286"/>
      <c r="G813" s="27"/>
      <c r="I813" s="5"/>
      <c r="J813" s="183"/>
    </row>
    <row r="814">
      <c r="D814" s="285"/>
      <c r="E814" s="73"/>
      <c r="F814" s="286"/>
      <c r="G814" s="27"/>
      <c r="I814" s="5"/>
      <c r="J814" s="183"/>
    </row>
    <row r="815">
      <c r="D815" s="285"/>
      <c r="E815" s="73"/>
      <c r="F815" s="286"/>
      <c r="G815" s="27"/>
      <c r="I815" s="5"/>
      <c r="J815" s="183"/>
    </row>
    <row r="816">
      <c r="D816" s="285"/>
      <c r="E816" s="73"/>
      <c r="F816" s="286"/>
      <c r="G816" s="27"/>
      <c r="I816" s="5"/>
      <c r="J816" s="183"/>
    </row>
    <row r="817">
      <c r="D817" s="285"/>
      <c r="E817" s="73"/>
      <c r="F817" s="286"/>
      <c r="G817" s="27"/>
      <c r="I817" s="5"/>
      <c r="J817" s="183"/>
    </row>
    <row r="818">
      <c r="D818" s="285"/>
      <c r="E818" s="73"/>
      <c r="F818" s="286"/>
      <c r="G818" s="27"/>
      <c r="I818" s="5"/>
      <c r="J818" s="183"/>
    </row>
    <row r="819">
      <c r="D819" s="285"/>
      <c r="E819" s="73"/>
      <c r="F819" s="286"/>
      <c r="G819" s="27"/>
      <c r="I819" s="5"/>
      <c r="J819" s="183"/>
    </row>
    <row r="820">
      <c r="D820" s="285"/>
      <c r="E820" s="73"/>
      <c r="F820" s="286"/>
      <c r="G820" s="27"/>
      <c r="I820" s="5"/>
      <c r="J820" s="183"/>
    </row>
    <row r="821">
      <c r="D821" s="285"/>
      <c r="E821" s="73"/>
      <c r="F821" s="286"/>
      <c r="G821" s="27"/>
      <c r="I821" s="5"/>
      <c r="J821" s="183"/>
    </row>
    <row r="822">
      <c r="D822" s="285"/>
      <c r="E822" s="73"/>
      <c r="F822" s="286"/>
      <c r="G822" s="27"/>
      <c r="I822" s="5"/>
      <c r="J822" s="183"/>
    </row>
    <row r="823">
      <c r="D823" s="285"/>
      <c r="E823" s="73"/>
      <c r="F823" s="286"/>
      <c r="G823" s="27"/>
      <c r="I823" s="5"/>
      <c r="J823" s="183"/>
    </row>
    <row r="824">
      <c r="D824" s="285"/>
      <c r="E824" s="73"/>
      <c r="F824" s="286"/>
      <c r="G824" s="27"/>
      <c r="I824" s="5"/>
      <c r="J824" s="183"/>
    </row>
    <row r="825">
      <c r="D825" s="285"/>
      <c r="E825" s="73"/>
      <c r="F825" s="286"/>
      <c r="G825" s="27"/>
      <c r="I825" s="5"/>
      <c r="J825" s="183"/>
    </row>
    <row r="826">
      <c r="D826" s="285"/>
      <c r="E826" s="73"/>
      <c r="F826" s="286"/>
      <c r="G826" s="27"/>
      <c r="I826" s="5"/>
      <c r="J826" s="183"/>
    </row>
    <row r="827">
      <c r="D827" s="285"/>
      <c r="E827" s="73"/>
      <c r="F827" s="286"/>
      <c r="G827" s="27"/>
      <c r="I827" s="5"/>
      <c r="J827" s="183"/>
    </row>
    <row r="828">
      <c r="D828" s="285"/>
      <c r="E828" s="73"/>
      <c r="F828" s="286"/>
      <c r="G828" s="27"/>
      <c r="I828" s="5"/>
      <c r="J828" s="183"/>
    </row>
    <row r="829">
      <c r="D829" s="285"/>
      <c r="E829" s="73"/>
      <c r="F829" s="286"/>
      <c r="G829" s="27"/>
      <c r="I829" s="5"/>
      <c r="J829" s="183"/>
    </row>
    <row r="830">
      <c r="D830" s="285"/>
      <c r="E830" s="73"/>
      <c r="F830" s="286"/>
      <c r="G830" s="27"/>
      <c r="I830" s="5"/>
      <c r="J830" s="183"/>
    </row>
    <row r="831">
      <c r="D831" s="285"/>
      <c r="E831" s="73"/>
      <c r="F831" s="286"/>
      <c r="G831" s="27"/>
      <c r="I831" s="5"/>
      <c r="J831" s="183"/>
    </row>
    <row r="832">
      <c r="D832" s="285"/>
      <c r="E832" s="73"/>
      <c r="F832" s="286"/>
      <c r="G832" s="27"/>
      <c r="I832" s="5"/>
      <c r="J832" s="183"/>
    </row>
    <row r="833">
      <c r="D833" s="285"/>
      <c r="E833" s="73"/>
      <c r="F833" s="286"/>
      <c r="G833" s="27"/>
      <c r="I833" s="5"/>
      <c r="J833" s="183"/>
    </row>
    <row r="834">
      <c r="D834" s="285"/>
      <c r="E834" s="73"/>
      <c r="F834" s="286"/>
      <c r="G834" s="27"/>
      <c r="I834" s="5"/>
      <c r="J834" s="183"/>
    </row>
    <row r="835">
      <c r="D835" s="285"/>
      <c r="E835" s="73"/>
      <c r="F835" s="286"/>
      <c r="G835" s="27"/>
      <c r="I835" s="5"/>
      <c r="J835" s="183"/>
    </row>
    <row r="836">
      <c r="D836" s="285"/>
      <c r="E836" s="73"/>
      <c r="F836" s="286"/>
      <c r="G836" s="27"/>
      <c r="I836" s="5"/>
      <c r="J836" s="183"/>
    </row>
    <row r="837">
      <c r="D837" s="285"/>
      <c r="E837" s="73"/>
      <c r="F837" s="286"/>
      <c r="G837" s="27"/>
      <c r="I837" s="5"/>
      <c r="J837" s="183"/>
    </row>
    <row r="838">
      <c r="D838" s="285"/>
      <c r="E838" s="73"/>
      <c r="F838" s="286"/>
      <c r="G838" s="27"/>
      <c r="I838" s="5"/>
      <c r="J838" s="183"/>
    </row>
    <row r="839">
      <c r="D839" s="285"/>
      <c r="E839" s="73"/>
      <c r="F839" s="286"/>
      <c r="G839" s="27"/>
      <c r="I839" s="5"/>
      <c r="J839" s="183"/>
    </row>
    <row r="840">
      <c r="D840" s="285"/>
      <c r="E840" s="73"/>
      <c r="F840" s="286"/>
      <c r="G840" s="27"/>
      <c r="I840" s="5"/>
      <c r="J840" s="183"/>
    </row>
    <row r="841">
      <c r="D841" s="285"/>
      <c r="E841" s="73"/>
      <c r="F841" s="286"/>
      <c r="G841" s="27"/>
      <c r="I841" s="5"/>
      <c r="J841" s="183"/>
    </row>
    <row r="842">
      <c r="D842" s="285"/>
      <c r="E842" s="73"/>
      <c r="F842" s="286"/>
      <c r="G842" s="27"/>
      <c r="I842" s="5"/>
      <c r="J842" s="183"/>
    </row>
    <row r="843">
      <c r="D843" s="285"/>
      <c r="E843" s="73"/>
      <c r="F843" s="286"/>
      <c r="G843" s="27"/>
      <c r="I843" s="5"/>
      <c r="J843" s="183"/>
    </row>
    <row r="844">
      <c r="D844" s="285"/>
      <c r="E844" s="73"/>
      <c r="F844" s="286"/>
      <c r="G844" s="27"/>
      <c r="I844" s="5"/>
      <c r="J844" s="183"/>
    </row>
    <row r="845">
      <c r="D845" s="285"/>
      <c r="E845" s="73"/>
      <c r="F845" s="286"/>
      <c r="G845" s="27"/>
      <c r="I845" s="5"/>
      <c r="J845" s="183"/>
    </row>
    <row r="846">
      <c r="D846" s="285"/>
      <c r="E846" s="73"/>
      <c r="F846" s="286"/>
      <c r="G846" s="27"/>
      <c r="I846" s="5"/>
      <c r="J846" s="183"/>
    </row>
    <row r="847">
      <c r="D847" s="285"/>
      <c r="E847" s="73"/>
      <c r="F847" s="286"/>
      <c r="G847" s="27"/>
      <c r="I847" s="5"/>
      <c r="J847" s="183"/>
    </row>
    <row r="848">
      <c r="D848" s="285"/>
      <c r="E848" s="73"/>
      <c r="F848" s="286"/>
      <c r="G848" s="27"/>
      <c r="I848" s="5"/>
      <c r="J848" s="183"/>
    </row>
    <row r="849">
      <c r="D849" s="285"/>
      <c r="E849" s="73"/>
      <c r="F849" s="286"/>
      <c r="G849" s="27"/>
      <c r="I849" s="5"/>
      <c r="J849" s="183"/>
    </row>
    <row r="850">
      <c r="D850" s="285"/>
      <c r="E850" s="73"/>
      <c r="F850" s="286"/>
      <c r="G850" s="27"/>
      <c r="I850" s="5"/>
      <c r="J850" s="183"/>
    </row>
    <row r="851">
      <c r="D851" s="285"/>
      <c r="E851" s="73"/>
      <c r="F851" s="286"/>
      <c r="G851" s="27"/>
      <c r="I851" s="5"/>
      <c r="J851" s="183"/>
    </row>
    <row r="852">
      <c r="D852" s="285"/>
      <c r="E852" s="73"/>
      <c r="F852" s="286"/>
      <c r="G852" s="27"/>
      <c r="I852" s="5"/>
      <c r="J852" s="183"/>
    </row>
    <row r="853">
      <c r="D853" s="285"/>
      <c r="E853" s="73"/>
      <c r="F853" s="286"/>
      <c r="G853" s="27"/>
      <c r="I853" s="5"/>
      <c r="J853" s="183"/>
    </row>
    <row r="854">
      <c r="D854" s="285"/>
      <c r="E854" s="73"/>
      <c r="F854" s="286"/>
      <c r="G854" s="27"/>
      <c r="I854" s="5"/>
      <c r="J854" s="183"/>
    </row>
    <row r="855">
      <c r="D855" s="285"/>
      <c r="E855" s="73"/>
      <c r="F855" s="286"/>
      <c r="G855" s="27"/>
      <c r="I855" s="5"/>
      <c r="J855" s="183"/>
    </row>
    <row r="856">
      <c r="D856" s="285"/>
      <c r="E856" s="73"/>
      <c r="F856" s="286"/>
      <c r="G856" s="27"/>
      <c r="I856" s="5"/>
      <c r="J856" s="183"/>
    </row>
    <row r="857">
      <c r="D857" s="285"/>
      <c r="E857" s="73"/>
      <c r="F857" s="286"/>
      <c r="G857" s="27"/>
      <c r="I857" s="5"/>
      <c r="J857" s="183"/>
    </row>
    <row r="858">
      <c r="D858" s="285"/>
      <c r="E858" s="73"/>
      <c r="F858" s="286"/>
      <c r="G858" s="27"/>
      <c r="I858" s="5"/>
      <c r="J858" s="183"/>
    </row>
    <row r="859">
      <c r="D859" s="285"/>
      <c r="E859" s="73"/>
      <c r="F859" s="286"/>
      <c r="G859" s="27"/>
      <c r="I859" s="5"/>
      <c r="J859" s="183"/>
    </row>
    <row r="860">
      <c r="D860" s="285"/>
      <c r="E860" s="73"/>
      <c r="F860" s="286"/>
      <c r="G860" s="27"/>
      <c r="I860" s="5"/>
      <c r="J860" s="183"/>
    </row>
    <row r="861">
      <c r="D861" s="285"/>
      <c r="E861" s="73"/>
      <c r="F861" s="286"/>
      <c r="G861" s="27"/>
      <c r="I861" s="5"/>
      <c r="J861" s="183"/>
    </row>
    <row r="862">
      <c r="D862" s="285"/>
      <c r="E862" s="73"/>
      <c r="F862" s="286"/>
      <c r="G862" s="27"/>
      <c r="I862" s="5"/>
      <c r="J862" s="183"/>
    </row>
    <row r="863">
      <c r="D863" s="285"/>
      <c r="E863" s="73"/>
      <c r="F863" s="286"/>
      <c r="G863" s="27"/>
      <c r="I863" s="5"/>
      <c r="J863" s="183"/>
    </row>
    <row r="864">
      <c r="D864" s="285"/>
      <c r="E864" s="73"/>
      <c r="F864" s="286"/>
      <c r="G864" s="27"/>
      <c r="I864" s="5"/>
      <c r="J864" s="183"/>
    </row>
    <row r="865">
      <c r="D865" s="285"/>
      <c r="E865" s="73"/>
      <c r="F865" s="286"/>
      <c r="G865" s="27"/>
      <c r="I865" s="5"/>
      <c r="J865" s="183"/>
    </row>
    <row r="866">
      <c r="D866" s="285"/>
      <c r="E866" s="73"/>
      <c r="F866" s="286"/>
      <c r="G866" s="27"/>
      <c r="I866" s="5"/>
      <c r="J866" s="183"/>
    </row>
    <row r="867">
      <c r="D867" s="285"/>
      <c r="E867" s="73"/>
      <c r="F867" s="286"/>
      <c r="G867" s="27"/>
      <c r="I867" s="5"/>
      <c r="J867" s="183"/>
    </row>
    <row r="868">
      <c r="D868" s="285"/>
      <c r="E868" s="73"/>
      <c r="F868" s="286"/>
      <c r="G868" s="27"/>
      <c r="I868" s="5"/>
      <c r="J868" s="183"/>
    </row>
    <row r="869">
      <c r="D869" s="285"/>
      <c r="E869" s="73"/>
      <c r="F869" s="286"/>
      <c r="G869" s="27"/>
      <c r="I869" s="5"/>
      <c r="J869" s="183"/>
    </row>
    <row r="870">
      <c r="D870" s="285"/>
      <c r="E870" s="73"/>
      <c r="F870" s="286"/>
      <c r="G870" s="27"/>
      <c r="I870" s="5"/>
      <c r="J870" s="183"/>
    </row>
    <row r="871">
      <c r="D871" s="285"/>
      <c r="E871" s="73"/>
      <c r="F871" s="286"/>
      <c r="G871" s="27"/>
      <c r="I871" s="5"/>
      <c r="J871" s="183"/>
    </row>
    <row r="872">
      <c r="D872" s="285"/>
      <c r="E872" s="73"/>
      <c r="F872" s="286"/>
      <c r="G872" s="27"/>
      <c r="I872" s="5"/>
      <c r="J872" s="183"/>
    </row>
    <row r="873">
      <c r="D873" s="285"/>
      <c r="E873" s="73"/>
      <c r="F873" s="286"/>
      <c r="G873" s="27"/>
      <c r="I873" s="5"/>
      <c r="J873" s="183"/>
    </row>
    <row r="874">
      <c r="D874" s="285"/>
      <c r="E874" s="73"/>
      <c r="F874" s="286"/>
      <c r="G874" s="27"/>
      <c r="I874" s="5"/>
      <c r="J874" s="183"/>
    </row>
    <row r="875">
      <c r="D875" s="285"/>
      <c r="E875" s="73"/>
      <c r="F875" s="286"/>
      <c r="G875" s="27"/>
      <c r="I875" s="5"/>
      <c r="J875" s="183"/>
    </row>
    <row r="876">
      <c r="D876" s="285"/>
      <c r="E876" s="73"/>
      <c r="F876" s="286"/>
      <c r="G876" s="27"/>
      <c r="I876" s="5"/>
      <c r="J876" s="183"/>
    </row>
    <row r="877">
      <c r="D877" s="285"/>
      <c r="E877" s="73"/>
      <c r="F877" s="286"/>
      <c r="G877" s="27"/>
      <c r="I877" s="5"/>
      <c r="J877" s="183"/>
    </row>
    <row r="878">
      <c r="D878" s="285"/>
      <c r="E878" s="73"/>
      <c r="F878" s="286"/>
      <c r="G878" s="27"/>
      <c r="I878" s="5"/>
      <c r="J878" s="183"/>
    </row>
    <row r="879">
      <c r="D879" s="285"/>
      <c r="E879" s="73"/>
      <c r="F879" s="286"/>
      <c r="G879" s="27"/>
      <c r="I879" s="5"/>
      <c r="J879" s="183"/>
    </row>
    <row r="880">
      <c r="D880" s="285"/>
      <c r="E880" s="73"/>
      <c r="F880" s="286"/>
      <c r="G880" s="27"/>
      <c r="I880" s="5"/>
      <c r="J880" s="183"/>
    </row>
    <row r="881">
      <c r="D881" s="285"/>
      <c r="E881" s="73"/>
      <c r="F881" s="286"/>
      <c r="G881" s="27"/>
      <c r="I881" s="5"/>
      <c r="J881" s="183"/>
    </row>
    <row r="882">
      <c r="D882" s="285"/>
      <c r="E882" s="73"/>
      <c r="F882" s="286"/>
      <c r="G882" s="27"/>
      <c r="I882" s="5"/>
      <c r="J882" s="183"/>
    </row>
    <row r="883">
      <c r="D883" s="285"/>
      <c r="E883" s="73"/>
      <c r="F883" s="286"/>
      <c r="G883" s="27"/>
      <c r="I883" s="5"/>
      <c r="J883" s="183"/>
    </row>
    <row r="884">
      <c r="D884" s="285"/>
      <c r="E884" s="73"/>
      <c r="F884" s="286"/>
      <c r="G884" s="27"/>
      <c r="I884" s="5"/>
      <c r="J884" s="183"/>
    </row>
    <row r="885">
      <c r="D885" s="285"/>
      <c r="E885" s="73"/>
      <c r="F885" s="286"/>
      <c r="G885" s="27"/>
      <c r="I885" s="5"/>
      <c r="J885" s="183"/>
    </row>
    <row r="886">
      <c r="D886" s="285"/>
      <c r="E886" s="73"/>
      <c r="F886" s="286"/>
      <c r="G886" s="27"/>
      <c r="I886" s="5"/>
      <c r="J886" s="183"/>
    </row>
    <row r="887">
      <c r="D887" s="285"/>
      <c r="E887" s="73"/>
      <c r="F887" s="286"/>
      <c r="G887" s="27"/>
      <c r="I887" s="5"/>
      <c r="J887" s="183"/>
    </row>
    <row r="888">
      <c r="D888" s="285"/>
      <c r="E888" s="73"/>
      <c r="F888" s="286"/>
      <c r="G888" s="27"/>
      <c r="I888" s="5"/>
      <c r="J888" s="183"/>
    </row>
    <row r="889">
      <c r="D889" s="285"/>
      <c r="E889" s="73"/>
      <c r="F889" s="286"/>
      <c r="G889" s="27"/>
      <c r="I889" s="5"/>
      <c r="J889" s="183"/>
    </row>
    <row r="890">
      <c r="D890" s="285"/>
      <c r="E890" s="73"/>
      <c r="F890" s="286"/>
      <c r="G890" s="27"/>
      <c r="I890" s="5"/>
      <c r="J890" s="183"/>
    </row>
    <row r="891">
      <c r="D891" s="285"/>
      <c r="E891" s="73"/>
      <c r="F891" s="286"/>
      <c r="G891" s="27"/>
      <c r="I891" s="5"/>
      <c r="J891" s="183"/>
    </row>
    <row r="892">
      <c r="D892" s="285"/>
      <c r="E892" s="73"/>
      <c r="F892" s="286"/>
      <c r="G892" s="27"/>
      <c r="I892" s="5"/>
      <c r="J892" s="183"/>
    </row>
    <row r="893">
      <c r="D893" s="285"/>
      <c r="E893" s="73"/>
      <c r="F893" s="286"/>
      <c r="G893" s="27"/>
      <c r="I893" s="5"/>
      <c r="J893" s="183"/>
    </row>
    <row r="894">
      <c r="D894" s="285"/>
      <c r="E894" s="73"/>
      <c r="F894" s="286"/>
      <c r="G894" s="27"/>
      <c r="I894" s="5"/>
      <c r="J894" s="183"/>
    </row>
    <row r="895">
      <c r="D895" s="285"/>
      <c r="E895" s="73"/>
      <c r="F895" s="286"/>
      <c r="G895" s="27"/>
      <c r="I895" s="5"/>
      <c r="J895" s="183"/>
    </row>
    <row r="896">
      <c r="D896" s="285"/>
      <c r="E896" s="73"/>
      <c r="F896" s="286"/>
      <c r="G896" s="27"/>
      <c r="I896" s="5"/>
      <c r="J896" s="183"/>
    </row>
    <row r="897">
      <c r="D897" s="285"/>
      <c r="E897" s="73"/>
      <c r="F897" s="286"/>
      <c r="G897" s="27"/>
      <c r="I897" s="5"/>
      <c r="J897" s="183"/>
    </row>
    <row r="898">
      <c r="D898" s="285"/>
      <c r="E898" s="73"/>
      <c r="F898" s="286"/>
      <c r="G898" s="27"/>
      <c r="I898" s="5"/>
      <c r="J898" s="183"/>
    </row>
    <row r="899">
      <c r="D899" s="285"/>
      <c r="E899" s="73"/>
      <c r="F899" s="286"/>
      <c r="G899" s="27"/>
      <c r="I899" s="5"/>
      <c r="J899" s="183"/>
    </row>
    <row r="900">
      <c r="D900" s="285"/>
      <c r="E900" s="73"/>
      <c r="F900" s="286"/>
      <c r="G900" s="27"/>
      <c r="I900" s="5"/>
      <c r="J900" s="183"/>
    </row>
    <row r="901">
      <c r="D901" s="285"/>
      <c r="E901" s="73"/>
      <c r="F901" s="286"/>
      <c r="G901" s="27"/>
      <c r="I901" s="5"/>
      <c r="J901" s="183"/>
    </row>
    <row r="902">
      <c r="D902" s="285"/>
      <c r="E902" s="73"/>
      <c r="F902" s="286"/>
      <c r="G902" s="27"/>
      <c r="I902" s="5"/>
      <c r="J902" s="183"/>
    </row>
    <row r="903">
      <c r="D903" s="285"/>
      <c r="E903" s="73"/>
      <c r="F903" s="286"/>
      <c r="G903" s="27"/>
      <c r="I903" s="5"/>
      <c r="J903" s="183"/>
    </row>
    <row r="904">
      <c r="D904" s="285"/>
      <c r="E904" s="73"/>
      <c r="F904" s="286"/>
      <c r="G904" s="27"/>
      <c r="I904" s="5"/>
      <c r="J904" s="183"/>
    </row>
    <row r="905">
      <c r="D905" s="285"/>
      <c r="E905" s="73"/>
      <c r="F905" s="286"/>
      <c r="G905" s="27"/>
      <c r="I905" s="5"/>
      <c r="J905" s="183"/>
    </row>
    <row r="906">
      <c r="D906" s="285"/>
      <c r="E906" s="73"/>
      <c r="F906" s="286"/>
      <c r="G906" s="27"/>
      <c r="I906" s="5"/>
      <c r="J906" s="183"/>
    </row>
    <row r="907">
      <c r="D907" s="285"/>
      <c r="E907" s="73"/>
      <c r="F907" s="286"/>
      <c r="G907" s="27"/>
      <c r="I907" s="5"/>
      <c r="J907" s="183"/>
    </row>
    <row r="908">
      <c r="D908" s="285"/>
      <c r="E908" s="73"/>
      <c r="F908" s="286"/>
      <c r="G908" s="27"/>
      <c r="I908" s="5"/>
      <c r="J908" s="183"/>
    </row>
    <row r="909">
      <c r="D909" s="285"/>
      <c r="E909" s="73"/>
      <c r="F909" s="286"/>
      <c r="G909" s="27"/>
      <c r="I909" s="5"/>
      <c r="J909" s="183"/>
    </row>
    <row r="910">
      <c r="D910" s="285"/>
      <c r="E910" s="73"/>
      <c r="F910" s="286"/>
      <c r="G910" s="27"/>
      <c r="I910" s="5"/>
      <c r="J910" s="183"/>
    </row>
    <row r="911">
      <c r="D911" s="285"/>
      <c r="E911" s="73"/>
      <c r="F911" s="286"/>
      <c r="G911" s="27"/>
      <c r="I911" s="5"/>
      <c r="J911" s="183"/>
    </row>
    <row r="912">
      <c r="D912" s="285"/>
      <c r="E912" s="73"/>
      <c r="F912" s="286"/>
      <c r="G912" s="27"/>
      <c r="I912" s="5"/>
      <c r="J912" s="183"/>
    </row>
    <row r="913">
      <c r="D913" s="285"/>
      <c r="E913" s="73"/>
      <c r="F913" s="286"/>
      <c r="G913" s="27"/>
      <c r="I913" s="5"/>
      <c r="J913" s="183"/>
    </row>
    <row r="914">
      <c r="D914" s="285"/>
      <c r="E914" s="73"/>
      <c r="F914" s="286"/>
      <c r="G914" s="27"/>
      <c r="I914" s="5"/>
      <c r="J914" s="183"/>
    </row>
    <row r="915">
      <c r="D915" s="285"/>
      <c r="E915" s="73"/>
      <c r="F915" s="286"/>
      <c r="G915" s="27"/>
      <c r="I915" s="5"/>
      <c r="J915" s="183"/>
    </row>
    <row r="916">
      <c r="D916" s="285"/>
      <c r="E916" s="73"/>
      <c r="F916" s="286"/>
      <c r="G916" s="27"/>
      <c r="I916" s="5"/>
      <c r="J916" s="183"/>
    </row>
    <row r="917">
      <c r="D917" s="285"/>
      <c r="E917" s="73"/>
      <c r="F917" s="286"/>
      <c r="G917" s="27"/>
      <c r="I917" s="5"/>
      <c r="J917" s="183"/>
    </row>
    <row r="918">
      <c r="D918" s="285"/>
      <c r="E918" s="73"/>
      <c r="F918" s="286"/>
      <c r="G918" s="27"/>
      <c r="I918" s="5"/>
      <c r="J918" s="183"/>
    </row>
    <row r="919">
      <c r="D919" s="285"/>
      <c r="E919" s="73"/>
      <c r="F919" s="286"/>
      <c r="G919" s="27"/>
      <c r="I919" s="5"/>
      <c r="J919" s="183"/>
    </row>
    <row r="920">
      <c r="D920" s="285"/>
      <c r="E920" s="73"/>
      <c r="F920" s="286"/>
      <c r="G920" s="27"/>
      <c r="I920" s="5"/>
      <c r="J920" s="183"/>
    </row>
    <row r="921">
      <c r="D921" s="285"/>
      <c r="E921" s="73"/>
      <c r="F921" s="286"/>
      <c r="G921" s="27"/>
      <c r="I921" s="5"/>
      <c r="J921" s="183"/>
    </row>
    <row r="922">
      <c r="D922" s="285"/>
      <c r="E922" s="73"/>
      <c r="F922" s="286"/>
      <c r="G922" s="27"/>
      <c r="I922" s="5"/>
      <c r="J922" s="183"/>
    </row>
    <row r="923">
      <c r="D923" s="285"/>
      <c r="E923" s="73"/>
      <c r="F923" s="286"/>
      <c r="G923" s="27"/>
      <c r="I923" s="5"/>
      <c r="J923" s="183"/>
    </row>
    <row r="924">
      <c r="D924" s="285"/>
      <c r="E924" s="73"/>
      <c r="F924" s="286"/>
      <c r="G924" s="27"/>
      <c r="I924" s="5"/>
      <c r="J924" s="183"/>
    </row>
    <row r="925">
      <c r="D925" s="285"/>
      <c r="E925" s="73"/>
      <c r="F925" s="286"/>
      <c r="G925" s="27"/>
      <c r="I925" s="5"/>
      <c r="J925" s="183"/>
    </row>
    <row r="926">
      <c r="D926" s="285"/>
      <c r="E926" s="73"/>
      <c r="F926" s="286"/>
      <c r="G926" s="27"/>
      <c r="I926" s="5"/>
      <c r="J926" s="183"/>
    </row>
    <row r="927">
      <c r="D927" s="285"/>
      <c r="E927" s="73"/>
      <c r="F927" s="286"/>
      <c r="G927" s="27"/>
      <c r="I927" s="5"/>
      <c r="J927" s="183"/>
    </row>
    <row r="928">
      <c r="D928" s="285"/>
      <c r="E928" s="73"/>
      <c r="F928" s="286"/>
      <c r="G928" s="27"/>
      <c r="I928" s="5"/>
      <c r="J928" s="183"/>
    </row>
    <row r="929">
      <c r="D929" s="285"/>
      <c r="E929" s="73"/>
      <c r="F929" s="286"/>
      <c r="G929" s="27"/>
      <c r="I929" s="5"/>
      <c r="J929" s="183"/>
    </row>
    <row r="930">
      <c r="D930" s="285"/>
      <c r="E930" s="73"/>
      <c r="F930" s="286"/>
      <c r="G930" s="27"/>
      <c r="I930" s="5"/>
      <c r="J930" s="183"/>
    </row>
    <row r="931">
      <c r="D931" s="285"/>
      <c r="E931" s="73"/>
      <c r="F931" s="286"/>
      <c r="G931" s="27"/>
      <c r="I931" s="5"/>
      <c r="J931" s="183"/>
    </row>
    <row r="932">
      <c r="D932" s="285"/>
      <c r="E932" s="73"/>
      <c r="F932" s="286"/>
      <c r="G932" s="27"/>
      <c r="I932" s="5"/>
      <c r="J932" s="183"/>
    </row>
    <row r="933">
      <c r="D933" s="285"/>
      <c r="E933" s="73"/>
      <c r="F933" s="286"/>
      <c r="G933" s="27"/>
      <c r="I933" s="5"/>
      <c r="J933" s="183"/>
    </row>
    <row r="934">
      <c r="D934" s="285"/>
      <c r="E934" s="73"/>
      <c r="F934" s="286"/>
      <c r="G934" s="27"/>
      <c r="I934" s="5"/>
      <c r="J934" s="183"/>
    </row>
    <row r="935">
      <c r="D935" s="285"/>
      <c r="E935" s="73"/>
      <c r="F935" s="286"/>
      <c r="G935" s="27"/>
      <c r="I935" s="5"/>
      <c r="J935" s="183"/>
    </row>
    <row r="936">
      <c r="D936" s="285"/>
      <c r="E936" s="73"/>
      <c r="F936" s="286"/>
      <c r="G936" s="27"/>
      <c r="I936" s="5"/>
      <c r="J936" s="183"/>
    </row>
    <row r="937">
      <c r="D937" s="285"/>
      <c r="E937" s="73"/>
      <c r="F937" s="286"/>
      <c r="G937" s="27"/>
      <c r="I937" s="5"/>
      <c r="J937" s="183"/>
    </row>
    <row r="938">
      <c r="D938" s="285"/>
      <c r="E938" s="73"/>
      <c r="F938" s="286"/>
      <c r="G938" s="27"/>
      <c r="I938" s="5"/>
      <c r="J938" s="183"/>
    </row>
    <row r="939">
      <c r="D939" s="285"/>
      <c r="E939" s="73"/>
      <c r="F939" s="286"/>
      <c r="G939" s="27"/>
      <c r="I939" s="5"/>
      <c r="J939" s="183"/>
    </row>
    <row r="940">
      <c r="D940" s="285"/>
      <c r="E940" s="73"/>
      <c r="F940" s="286"/>
      <c r="G940" s="27"/>
      <c r="I940" s="5"/>
      <c r="J940" s="183"/>
    </row>
    <row r="941">
      <c r="D941" s="285"/>
      <c r="E941" s="73"/>
      <c r="F941" s="286"/>
      <c r="G941" s="27"/>
      <c r="I941" s="5"/>
      <c r="J941" s="183"/>
    </row>
    <row r="942">
      <c r="D942" s="285"/>
      <c r="E942" s="73"/>
      <c r="F942" s="286"/>
      <c r="G942" s="27"/>
      <c r="I942" s="5"/>
      <c r="J942" s="183"/>
    </row>
    <row r="943">
      <c r="D943" s="285"/>
      <c r="E943" s="73"/>
      <c r="F943" s="286"/>
      <c r="G943" s="27"/>
      <c r="I943" s="5"/>
      <c r="J943" s="183"/>
    </row>
    <row r="944">
      <c r="D944" s="285"/>
      <c r="E944" s="73"/>
      <c r="F944" s="286"/>
      <c r="G944" s="27"/>
      <c r="I944" s="5"/>
      <c r="J944" s="183"/>
    </row>
    <row r="945">
      <c r="D945" s="285"/>
      <c r="E945" s="73"/>
      <c r="F945" s="286"/>
      <c r="G945" s="27"/>
      <c r="I945" s="5"/>
      <c r="J945" s="183"/>
    </row>
    <row r="946">
      <c r="D946" s="285"/>
      <c r="E946" s="73"/>
      <c r="F946" s="286"/>
      <c r="G946" s="27"/>
      <c r="I946" s="5"/>
      <c r="J946" s="183"/>
    </row>
    <row r="947">
      <c r="D947" s="285"/>
      <c r="E947" s="73"/>
      <c r="F947" s="286"/>
      <c r="G947" s="27"/>
      <c r="I947" s="5"/>
      <c r="J947" s="183"/>
    </row>
    <row r="948">
      <c r="D948" s="285"/>
      <c r="E948" s="73"/>
      <c r="F948" s="286"/>
      <c r="G948" s="27"/>
      <c r="I948" s="5"/>
      <c r="J948" s="183"/>
    </row>
    <row r="949">
      <c r="D949" s="285"/>
      <c r="E949" s="73"/>
      <c r="F949" s="286"/>
      <c r="G949" s="27"/>
      <c r="I949" s="5"/>
      <c r="J949" s="183"/>
    </row>
    <row r="950">
      <c r="D950" s="285"/>
      <c r="E950" s="73"/>
      <c r="F950" s="286"/>
      <c r="G950" s="27"/>
      <c r="I950" s="5"/>
      <c r="J950" s="183"/>
    </row>
    <row r="951">
      <c r="D951" s="285"/>
      <c r="E951" s="73"/>
      <c r="F951" s="286"/>
      <c r="G951" s="27"/>
      <c r="I951" s="5"/>
      <c r="J951" s="183"/>
    </row>
    <row r="952">
      <c r="D952" s="285"/>
      <c r="E952" s="73"/>
      <c r="F952" s="286"/>
      <c r="G952" s="27"/>
      <c r="I952" s="5"/>
      <c r="J952" s="183"/>
    </row>
    <row r="953">
      <c r="D953" s="285"/>
      <c r="E953" s="73"/>
      <c r="F953" s="286"/>
      <c r="G953" s="27"/>
      <c r="I953" s="5"/>
      <c r="J953" s="183"/>
    </row>
    <row r="954">
      <c r="D954" s="285"/>
      <c r="E954" s="73"/>
      <c r="F954" s="286"/>
      <c r="G954" s="27"/>
      <c r="I954" s="5"/>
      <c r="J954" s="183"/>
    </row>
    <row r="955">
      <c r="D955" s="285"/>
      <c r="E955" s="73"/>
      <c r="F955" s="286"/>
      <c r="G955" s="27"/>
      <c r="I955" s="5"/>
      <c r="J955" s="183"/>
    </row>
    <row r="956">
      <c r="D956" s="285"/>
      <c r="E956" s="73"/>
      <c r="F956" s="286"/>
      <c r="G956" s="27"/>
      <c r="I956" s="5"/>
      <c r="J956" s="183"/>
    </row>
    <row r="957">
      <c r="D957" s="285"/>
      <c r="E957" s="73"/>
      <c r="F957" s="286"/>
      <c r="G957" s="27"/>
      <c r="I957" s="5"/>
      <c r="J957" s="183"/>
    </row>
    <row r="958">
      <c r="D958" s="285"/>
      <c r="E958" s="73"/>
      <c r="F958" s="286"/>
      <c r="G958" s="27"/>
      <c r="I958" s="5"/>
      <c r="J958" s="183"/>
    </row>
    <row r="959">
      <c r="D959" s="285"/>
      <c r="E959" s="73"/>
      <c r="F959" s="286"/>
      <c r="G959" s="27"/>
      <c r="I959" s="5"/>
      <c r="J959" s="183"/>
    </row>
    <row r="960">
      <c r="D960" s="285"/>
      <c r="E960" s="73"/>
      <c r="F960" s="286"/>
      <c r="G960" s="27"/>
      <c r="I960" s="5"/>
      <c r="J960" s="183"/>
    </row>
    <row r="961">
      <c r="D961" s="285"/>
      <c r="E961" s="73"/>
      <c r="F961" s="286"/>
      <c r="G961" s="27"/>
      <c r="I961" s="5"/>
      <c r="J961" s="183"/>
    </row>
    <row r="962">
      <c r="D962" s="285"/>
      <c r="E962" s="73"/>
      <c r="F962" s="286"/>
      <c r="G962" s="27"/>
      <c r="I962" s="5"/>
      <c r="J962" s="183"/>
    </row>
    <row r="963">
      <c r="D963" s="285"/>
      <c r="E963" s="73"/>
      <c r="F963" s="286"/>
      <c r="G963" s="27"/>
      <c r="I963" s="5"/>
      <c r="J963" s="183"/>
    </row>
    <row r="964">
      <c r="D964" s="285"/>
      <c r="E964" s="73"/>
      <c r="F964" s="286"/>
      <c r="G964" s="27"/>
      <c r="I964" s="5"/>
      <c r="J964" s="183"/>
    </row>
    <row r="965">
      <c r="D965" s="285"/>
      <c r="E965" s="73"/>
      <c r="F965" s="286"/>
      <c r="G965" s="27"/>
      <c r="I965" s="5"/>
      <c r="J965" s="183"/>
    </row>
    <row r="966">
      <c r="D966" s="285"/>
      <c r="E966" s="73"/>
      <c r="F966" s="286"/>
      <c r="G966" s="27"/>
      <c r="I966" s="5"/>
      <c r="J966" s="183"/>
    </row>
    <row r="967">
      <c r="D967" s="285"/>
      <c r="E967" s="73"/>
      <c r="F967" s="286"/>
      <c r="G967" s="27"/>
      <c r="I967" s="5"/>
      <c r="J967" s="183"/>
    </row>
    <row r="968">
      <c r="D968" s="285"/>
      <c r="E968" s="73"/>
      <c r="F968" s="286"/>
      <c r="G968" s="27"/>
      <c r="I968" s="5"/>
      <c r="J968" s="183"/>
    </row>
    <row r="969">
      <c r="D969" s="285"/>
      <c r="E969" s="73"/>
      <c r="F969" s="286"/>
      <c r="G969" s="27"/>
      <c r="I969" s="5"/>
      <c r="J969" s="183"/>
    </row>
    <row r="970">
      <c r="D970" s="285"/>
      <c r="E970" s="73"/>
      <c r="F970" s="286"/>
      <c r="G970" s="27"/>
      <c r="I970" s="5"/>
      <c r="J970" s="183"/>
    </row>
    <row r="971">
      <c r="D971" s="285"/>
      <c r="E971" s="73"/>
      <c r="F971" s="286"/>
      <c r="G971" s="27"/>
      <c r="I971" s="5"/>
      <c r="J971" s="183"/>
    </row>
    <row r="972">
      <c r="D972" s="285"/>
      <c r="E972" s="73"/>
      <c r="F972" s="286"/>
      <c r="G972" s="27"/>
      <c r="I972" s="5"/>
      <c r="J972" s="183"/>
    </row>
    <row r="973">
      <c r="D973" s="285"/>
      <c r="E973" s="73"/>
      <c r="F973" s="286"/>
      <c r="G973" s="27"/>
      <c r="I973" s="5"/>
      <c r="J973" s="183"/>
    </row>
    <row r="974">
      <c r="D974" s="285"/>
      <c r="E974" s="73"/>
      <c r="F974" s="286"/>
      <c r="G974" s="27"/>
      <c r="I974" s="5"/>
      <c r="J974" s="183"/>
    </row>
    <row r="975">
      <c r="D975" s="285"/>
      <c r="E975" s="73"/>
      <c r="F975" s="286"/>
      <c r="G975" s="27"/>
      <c r="I975" s="5"/>
      <c r="J975" s="183"/>
    </row>
    <row r="976">
      <c r="D976" s="285"/>
      <c r="E976" s="73"/>
      <c r="F976" s="286"/>
      <c r="G976" s="27"/>
      <c r="I976" s="5"/>
      <c r="J976" s="183"/>
    </row>
    <row r="977">
      <c r="D977" s="285"/>
      <c r="E977" s="73"/>
      <c r="F977" s="286"/>
      <c r="G977" s="27"/>
      <c r="I977" s="5"/>
      <c r="J977" s="183"/>
    </row>
    <row r="978">
      <c r="D978" s="285"/>
      <c r="E978" s="73"/>
      <c r="F978" s="286"/>
      <c r="G978" s="27"/>
      <c r="I978" s="5"/>
      <c r="J978" s="183"/>
    </row>
    <row r="979">
      <c r="D979" s="285"/>
      <c r="E979" s="73"/>
      <c r="F979" s="286"/>
      <c r="G979" s="27"/>
      <c r="I979" s="5"/>
      <c r="J979" s="183"/>
    </row>
  </sheetData>
  <mergeCells count="7">
    <mergeCell ref="A1:B1"/>
    <mergeCell ref="D1:F1"/>
    <mergeCell ref="E2:F2"/>
    <mergeCell ref="G2:H2"/>
    <mergeCell ref="D3:D4"/>
    <mergeCell ref="D5:D6"/>
    <mergeCell ref="A10:G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3.75"/>
    <col customWidth="1" min="2" max="2" width="18.88"/>
    <col customWidth="1" min="3" max="3" width="7.63"/>
    <col customWidth="1" min="4" max="8" width="10.13"/>
    <col customWidth="1" min="10" max="10" width="7.63"/>
    <col customWidth="1" min="16" max="16" width="10.13"/>
  </cols>
  <sheetData>
    <row r="1">
      <c r="A1" s="86" t="s">
        <v>329</v>
      </c>
      <c r="B1" s="31"/>
      <c r="C1" s="40"/>
      <c r="D1" s="86" t="s">
        <v>268</v>
      </c>
      <c r="E1" s="30"/>
      <c r="F1" s="31"/>
      <c r="H1" s="188" t="s">
        <v>73</v>
      </c>
      <c r="I1" s="31"/>
      <c r="J1" s="5"/>
      <c r="K1" s="86" t="s">
        <v>50</v>
      </c>
      <c r="L1" s="30"/>
      <c r="M1" s="30"/>
      <c r="N1" s="30"/>
      <c r="O1" s="31"/>
      <c r="Q1" s="188" t="s">
        <v>368</v>
      </c>
      <c r="R1" s="31"/>
    </row>
    <row r="2">
      <c r="A2" s="89" t="s">
        <v>114</v>
      </c>
      <c r="B2" s="89" t="s">
        <v>115</v>
      </c>
      <c r="C2" s="40"/>
      <c r="D2" s="89" t="s">
        <v>42</v>
      </c>
      <c r="E2" s="89" t="s">
        <v>116</v>
      </c>
      <c r="F2" s="1" t="s">
        <v>79</v>
      </c>
      <c r="H2" s="189" t="s">
        <v>73</v>
      </c>
      <c r="I2" s="189" t="s">
        <v>79</v>
      </c>
      <c r="J2" s="5"/>
      <c r="K2" s="89"/>
      <c r="L2" s="89" t="s">
        <v>79</v>
      </c>
      <c r="M2" s="89"/>
      <c r="N2" s="1" t="s">
        <v>98</v>
      </c>
      <c r="O2" s="1" t="s">
        <v>271</v>
      </c>
      <c r="Q2" s="189" t="s">
        <v>368</v>
      </c>
      <c r="R2" s="189" t="s">
        <v>79</v>
      </c>
    </row>
    <row r="3">
      <c r="A3" s="13" t="s">
        <v>369</v>
      </c>
      <c r="B3" s="191">
        <v>0.09</v>
      </c>
      <c r="C3" s="40"/>
      <c r="D3" s="94" t="s">
        <v>7</v>
      </c>
      <c r="E3" s="13">
        <v>250.0</v>
      </c>
      <c r="F3" s="193">
        <f>SUM(PAPEL!G7)</f>
        <v>0.09458</v>
      </c>
      <c r="H3" s="194" t="s">
        <v>45</v>
      </c>
      <c r="I3" s="195">
        <f>SUM(ACABAMENTO!B3)</f>
        <v>0.02</v>
      </c>
      <c r="J3" s="5"/>
      <c r="K3" s="13" t="s">
        <v>62</v>
      </c>
      <c r="L3" s="15">
        <f>SUM(ACABAMENTO!C13)</f>
        <v>0.5</v>
      </c>
      <c r="M3" s="15"/>
      <c r="N3" s="290">
        <v>50.0</v>
      </c>
      <c r="O3" s="15">
        <f t="shared" ref="O3:O5" si="1">SUM(L3*N3)</f>
        <v>25</v>
      </c>
      <c r="Q3" s="194" t="s">
        <v>45</v>
      </c>
      <c r="R3" s="195">
        <v>0.07</v>
      </c>
    </row>
    <row r="4">
      <c r="A4" s="40"/>
      <c r="B4" s="383"/>
      <c r="C4" s="40"/>
      <c r="D4" s="54"/>
      <c r="E4" s="13">
        <v>300.0</v>
      </c>
      <c r="F4" s="193">
        <f>SUM(PAPEL!G8)</f>
        <v>0.06</v>
      </c>
      <c r="H4" s="197"/>
      <c r="I4" s="197"/>
      <c r="J4" s="5"/>
      <c r="K4" s="13" t="s">
        <v>63</v>
      </c>
      <c r="L4" s="15">
        <f>SUM(ACABAMENTO!C14)</f>
        <v>0.34</v>
      </c>
      <c r="M4" s="15"/>
      <c r="N4" s="292">
        <v>300.0</v>
      </c>
      <c r="O4" s="15">
        <f t="shared" si="1"/>
        <v>102</v>
      </c>
    </row>
    <row r="5">
      <c r="A5" s="5"/>
      <c r="B5" s="5"/>
      <c r="C5" s="40"/>
      <c r="D5" s="57"/>
      <c r="E5" s="13">
        <v>400.0</v>
      </c>
      <c r="F5" s="193">
        <f>PAPEL!G10</f>
        <v>0.14328</v>
      </c>
      <c r="H5" s="5"/>
      <c r="I5" s="5"/>
      <c r="J5" s="5"/>
      <c r="K5" s="13" t="s">
        <v>65</v>
      </c>
      <c r="L5" s="15">
        <f>SUM(ACABAMENTO!C15)</f>
        <v>0.17</v>
      </c>
      <c r="M5" s="15"/>
      <c r="N5" s="295">
        <v>0.0</v>
      </c>
      <c r="O5" s="15">
        <f t="shared" si="1"/>
        <v>0</v>
      </c>
      <c r="W5" s="293"/>
      <c r="X5" s="293"/>
    </row>
    <row r="6">
      <c r="D6" s="5"/>
      <c r="E6" s="185"/>
      <c r="F6" s="5"/>
      <c r="G6" s="186"/>
      <c r="H6" s="27"/>
      <c r="J6" s="5"/>
      <c r="K6" s="40"/>
      <c r="L6" s="293" t="s">
        <v>83</v>
      </c>
      <c r="O6" s="297">
        <f>SUM(O3:O5)</f>
        <v>127</v>
      </c>
    </row>
    <row r="7">
      <c r="A7" s="188" t="s">
        <v>370</v>
      </c>
      <c r="B7" s="31"/>
      <c r="D7" s="188" t="s">
        <v>371</v>
      </c>
      <c r="E7" s="31"/>
      <c r="F7" s="5"/>
      <c r="G7" s="186"/>
      <c r="H7" s="27"/>
      <c r="J7" s="5"/>
      <c r="Q7" s="5"/>
      <c r="R7" s="186"/>
    </row>
    <row r="8">
      <c r="A8" s="189" t="s">
        <v>370</v>
      </c>
      <c r="B8" s="189" t="s">
        <v>79</v>
      </c>
      <c r="D8" s="189" t="s">
        <v>371</v>
      </c>
      <c r="E8" s="189" t="s">
        <v>79</v>
      </c>
      <c r="F8" s="5"/>
      <c r="G8" s="186"/>
      <c r="H8" s="27"/>
      <c r="J8" s="5"/>
      <c r="Q8" s="5"/>
      <c r="R8" s="186"/>
    </row>
    <row r="9">
      <c r="A9" s="194" t="s">
        <v>45</v>
      </c>
      <c r="B9" s="195">
        <v>0.5</v>
      </c>
      <c r="D9" s="194" t="s">
        <v>45</v>
      </c>
      <c r="E9" s="195">
        <v>0.5</v>
      </c>
      <c r="F9" s="5"/>
      <c r="G9" s="186"/>
      <c r="H9" s="27"/>
      <c r="J9" s="5"/>
      <c r="Q9" s="5"/>
      <c r="R9" s="186"/>
    </row>
    <row r="10">
      <c r="D10" s="5"/>
      <c r="E10" s="185"/>
      <c r="F10" s="5"/>
      <c r="G10" s="186"/>
      <c r="H10" s="27"/>
      <c r="J10" s="5"/>
      <c r="Q10" s="5"/>
      <c r="R10" s="186"/>
    </row>
    <row r="11">
      <c r="D11" s="5"/>
      <c r="E11" s="185"/>
      <c r="F11" s="5"/>
      <c r="G11" s="186"/>
      <c r="H11" s="27"/>
      <c r="J11" s="5"/>
      <c r="Q11" s="5"/>
      <c r="R11" s="186"/>
    </row>
    <row r="12">
      <c r="A12" s="85" t="s">
        <v>127</v>
      </c>
      <c r="B12" s="30"/>
      <c r="C12" s="30"/>
      <c r="D12" s="30"/>
      <c r="E12" s="30"/>
      <c r="F12" s="30"/>
      <c r="G12" s="30"/>
      <c r="H12" s="31"/>
      <c r="I12" s="86" t="s">
        <v>94</v>
      </c>
      <c r="J12" s="30"/>
      <c r="K12" s="30"/>
      <c r="L12" s="30"/>
      <c r="M12" s="30"/>
      <c r="N12" s="31"/>
      <c r="O12" s="110"/>
      <c r="P12" s="110"/>
      <c r="Q12" s="110"/>
      <c r="R12" s="110"/>
      <c r="S12" s="106"/>
    </row>
    <row r="13">
      <c r="A13" s="1" t="s">
        <v>95</v>
      </c>
      <c r="B13" s="1" t="s">
        <v>96</v>
      </c>
      <c r="C13" s="118" t="s">
        <v>98</v>
      </c>
      <c r="D13" s="118" t="s">
        <v>129</v>
      </c>
      <c r="E13" s="191" t="s">
        <v>130</v>
      </c>
      <c r="F13" s="2" t="s">
        <v>99</v>
      </c>
      <c r="G13" s="202" t="s">
        <v>131</v>
      </c>
      <c r="H13" s="120" t="s">
        <v>132</v>
      </c>
      <c r="I13" s="1" t="s">
        <v>73</v>
      </c>
      <c r="J13" s="1" t="s">
        <v>101</v>
      </c>
      <c r="K13" s="1" t="s">
        <v>74</v>
      </c>
      <c r="L13" s="1" t="s">
        <v>368</v>
      </c>
      <c r="M13" s="1" t="s">
        <v>371</v>
      </c>
      <c r="N13" s="1" t="s">
        <v>370</v>
      </c>
      <c r="O13" s="120" t="s">
        <v>133</v>
      </c>
      <c r="P13" s="120" t="s">
        <v>372</v>
      </c>
      <c r="Q13" s="203" t="s">
        <v>134</v>
      </c>
      <c r="R13" s="195" t="s">
        <v>135</v>
      </c>
      <c r="S13" s="1" t="s">
        <v>103</v>
      </c>
    </row>
    <row r="14" ht="52.5" customHeight="1">
      <c r="A14" s="123" t="s">
        <v>373</v>
      </c>
      <c r="B14" s="123" t="s">
        <v>374</v>
      </c>
      <c r="C14" s="124">
        <v>50.0</v>
      </c>
      <c r="D14" s="171">
        <f t="shared" ref="D14:D26" si="2">C14</f>
        <v>50</v>
      </c>
      <c r="E14" s="243">
        <f>B3</f>
        <v>0.09</v>
      </c>
      <c r="F14" s="244">
        <f t="shared" ref="F14:F27" si="3">SUM(E14*D14)</f>
        <v>4.5</v>
      </c>
      <c r="G14" s="245">
        <v>0.14</v>
      </c>
      <c r="H14" s="127">
        <f t="shared" ref="H14:H27" si="4">SUM(D14*G14)</f>
        <v>7</v>
      </c>
      <c r="I14" s="125">
        <f>SUM(I3*D14)</f>
        <v>1</v>
      </c>
      <c r="J14" s="384">
        <v>25.0</v>
      </c>
      <c r="K14" s="384">
        <v>0.0</v>
      </c>
      <c r="L14" s="384">
        <f>C14*R3</f>
        <v>3.5</v>
      </c>
      <c r="M14" s="384"/>
      <c r="N14" s="385">
        <f>B9*C14</f>
        <v>25</v>
      </c>
      <c r="O14" s="127">
        <f t="shared" ref="O14:O24" si="5">F14+H14+I14+J14+K14+L14+N14</f>
        <v>66</v>
      </c>
      <c r="P14" s="127">
        <f t="shared" ref="P14:P27" si="6">O14/C14</f>
        <v>1.32</v>
      </c>
      <c r="Q14" s="246">
        <v>3.0</v>
      </c>
      <c r="R14" s="127">
        <f t="shared" ref="R14:R29" si="7">SUM((O14*Q14)+O14)</f>
        <v>264</v>
      </c>
      <c r="S14" s="128">
        <f t="shared" ref="S14:S27" si="8">SUM(R14/C14)</f>
        <v>5.28</v>
      </c>
    </row>
    <row r="15" ht="52.5" customHeight="1">
      <c r="A15" s="123" t="s">
        <v>373</v>
      </c>
      <c r="B15" s="123" t="s">
        <v>374</v>
      </c>
      <c r="C15" s="124">
        <v>80.0</v>
      </c>
      <c r="D15" s="171">
        <f t="shared" si="2"/>
        <v>80</v>
      </c>
      <c r="E15" s="243">
        <f>B3</f>
        <v>0.09</v>
      </c>
      <c r="F15" s="244">
        <f t="shared" si="3"/>
        <v>7.2</v>
      </c>
      <c r="G15" s="245">
        <v>0.14</v>
      </c>
      <c r="H15" s="127">
        <f t="shared" si="4"/>
        <v>11.2</v>
      </c>
      <c r="I15" s="125">
        <f>SUM(I3*D15)</f>
        <v>1.6</v>
      </c>
      <c r="J15" s="384">
        <v>40.0</v>
      </c>
      <c r="K15" s="384">
        <v>0.0</v>
      </c>
      <c r="L15" s="384">
        <f>C15*R3</f>
        <v>5.6</v>
      </c>
      <c r="M15" s="384"/>
      <c r="N15" s="385">
        <f>B9*C15</f>
        <v>40</v>
      </c>
      <c r="O15" s="127">
        <f t="shared" si="5"/>
        <v>105.6</v>
      </c>
      <c r="P15" s="127">
        <f t="shared" si="6"/>
        <v>1.32</v>
      </c>
      <c r="Q15" s="246">
        <v>3.0</v>
      </c>
      <c r="R15" s="127">
        <f t="shared" si="7"/>
        <v>422.4</v>
      </c>
      <c r="S15" s="128">
        <f t="shared" si="8"/>
        <v>5.28</v>
      </c>
    </row>
    <row r="16" ht="52.5" customHeight="1">
      <c r="A16" s="123" t="s">
        <v>373</v>
      </c>
      <c r="B16" s="123" t="s">
        <v>374</v>
      </c>
      <c r="C16" s="124">
        <v>100.0</v>
      </c>
      <c r="D16" s="171">
        <f t="shared" si="2"/>
        <v>100</v>
      </c>
      <c r="E16" s="243">
        <f>B3</f>
        <v>0.09</v>
      </c>
      <c r="F16" s="244">
        <f t="shared" si="3"/>
        <v>9</v>
      </c>
      <c r="G16" s="245">
        <v>0.14</v>
      </c>
      <c r="H16" s="127">
        <f t="shared" si="4"/>
        <v>14</v>
      </c>
      <c r="I16" s="125">
        <f>SUM(I3*D16)</f>
        <v>2</v>
      </c>
      <c r="J16" s="384">
        <v>50.0</v>
      </c>
      <c r="K16" s="384">
        <v>0.0</v>
      </c>
      <c r="L16" s="384">
        <f>C16*R3</f>
        <v>7</v>
      </c>
      <c r="M16" s="384"/>
      <c r="N16" s="385">
        <f>B9*C16</f>
        <v>50</v>
      </c>
      <c r="O16" s="127">
        <f t="shared" si="5"/>
        <v>132</v>
      </c>
      <c r="P16" s="127">
        <f t="shared" si="6"/>
        <v>1.32</v>
      </c>
      <c r="Q16" s="246">
        <v>3.0</v>
      </c>
      <c r="R16" s="127">
        <f t="shared" si="7"/>
        <v>528</v>
      </c>
      <c r="S16" s="128">
        <f t="shared" si="8"/>
        <v>5.28</v>
      </c>
    </row>
    <row r="17" ht="52.5" customHeight="1">
      <c r="A17" s="123" t="s">
        <v>373</v>
      </c>
      <c r="B17" s="123" t="s">
        <v>374</v>
      </c>
      <c r="C17" s="124">
        <v>125.0</v>
      </c>
      <c r="D17" s="171">
        <f t="shared" si="2"/>
        <v>125</v>
      </c>
      <c r="E17" s="243">
        <f>B3</f>
        <v>0.09</v>
      </c>
      <c r="F17" s="244">
        <f t="shared" si="3"/>
        <v>11.25</v>
      </c>
      <c r="G17" s="245">
        <v>0.14</v>
      </c>
      <c r="H17" s="127">
        <f t="shared" si="4"/>
        <v>17.5</v>
      </c>
      <c r="I17" s="125">
        <f>SUM(I3*D17)</f>
        <v>2.5</v>
      </c>
      <c r="J17" s="384">
        <v>42.5</v>
      </c>
      <c r="K17" s="384">
        <v>0.0</v>
      </c>
      <c r="L17" s="384">
        <f>C17*R3</f>
        <v>8.75</v>
      </c>
      <c r="M17" s="384"/>
      <c r="N17" s="385">
        <f>B9*C17</f>
        <v>62.5</v>
      </c>
      <c r="O17" s="127">
        <f t="shared" si="5"/>
        <v>145</v>
      </c>
      <c r="P17" s="127">
        <f t="shared" si="6"/>
        <v>1.16</v>
      </c>
      <c r="Q17" s="246">
        <v>3.0</v>
      </c>
      <c r="R17" s="127">
        <f t="shared" si="7"/>
        <v>580</v>
      </c>
      <c r="S17" s="128">
        <f t="shared" si="8"/>
        <v>4.64</v>
      </c>
    </row>
    <row r="18" ht="52.5" customHeight="1">
      <c r="A18" s="123" t="s">
        <v>373</v>
      </c>
      <c r="B18" s="123" t="s">
        <v>374</v>
      </c>
      <c r="C18" s="124">
        <v>150.0</v>
      </c>
      <c r="D18" s="171">
        <f t="shared" si="2"/>
        <v>150</v>
      </c>
      <c r="E18" s="243">
        <f>B3</f>
        <v>0.09</v>
      </c>
      <c r="F18" s="244">
        <f t="shared" si="3"/>
        <v>13.5</v>
      </c>
      <c r="G18" s="245">
        <v>0.14</v>
      </c>
      <c r="H18" s="127">
        <f t="shared" si="4"/>
        <v>21</v>
      </c>
      <c r="I18" s="125">
        <f>SUM(I3*D18)</f>
        <v>3</v>
      </c>
      <c r="J18" s="384">
        <v>51.0</v>
      </c>
      <c r="K18" s="384">
        <v>0.0</v>
      </c>
      <c r="L18" s="384">
        <f>C18*R3</f>
        <v>10.5</v>
      </c>
      <c r="M18" s="384"/>
      <c r="N18" s="385">
        <f>B9*C18</f>
        <v>75</v>
      </c>
      <c r="O18" s="127">
        <f t="shared" si="5"/>
        <v>174</v>
      </c>
      <c r="P18" s="127">
        <f t="shared" si="6"/>
        <v>1.16</v>
      </c>
      <c r="Q18" s="246">
        <v>3.0</v>
      </c>
      <c r="R18" s="127">
        <f t="shared" si="7"/>
        <v>696</v>
      </c>
      <c r="S18" s="128">
        <f t="shared" si="8"/>
        <v>4.64</v>
      </c>
    </row>
    <row r="19" ht="52.5" customHeight="1">
      <c r="A19" s="123" t="s">
        <v>373</v>
      </c>
      <c r="B19" s="123" t="s">
        <v>374</v>
      </c>
      <c r="C19" s="124">
        <v>175.0</v>
      </c>
      <c r="D19" s="171">
        <f t="shared" si="2"/>
        <v>175</v>
      </c>
      <c r="E19" s="243">
        <f>B3</f>
        <v>0.09</v>
      </c>
      <c r="F19" s="244">
        <f t="shared" si="3"/>
        <v>15.75</v>
      </c>
      <c r="G19" s="245">
        <v>0.14</v>
      </c>
      <c r="H19" s="127">
        <f t="shared" si="4"/>
        <v>24.5</v>
      </c>
      <c r="I19" s="125">
        <f>SUM(I3*D19)</f>
        <v>3.5</v>
      </c>
      <c r="J19" s="384">
        <v>59.5</v>
      </c>
      <c r="K19" s="384">
        <v>0.0</v>
      </c>
      <c r="L19" s="384">
        <f>C19*R3</f>
        <v>12.25</v>
      </c>
      <c r="M19" s="384"/>
      <c r="N19" s="385">
        <f>B9*C19</f>
        <v>87.5</v>
      </c>
      <c r="O19" s="127">
        <f t="shared" si="5"/>
        <v>203</v>
      </c>
      <c r="P19" s="127">
        <f t="shared" si="6"/>
        <v>1.16</v>
      </c>
      <c r="Q19" s="246">
        <v>3.0</v>
      </c>
      <c r="R19" s="127">
        <f t="shared" si="7"/>
        <v>812</v>
      </c>
      <c r="S19" s="128">
        <f t="shared" si="8"/>
        <v>4.64</v>
      </c>
    </row>
    <row r="20" ht="52.5" customHeight="1">
      <c r="A20" s="123" t="s">
        <v>375</v>
      </c>
      <c r="B20" s="123" t="s">
        <v>374</v>
      </c>
      <c r="C20" s="124">
        <v>150.0</v>
      </c>
      <c r="D20" s="171">
        <f t="shared" si="2"/>
        <v>150</v>
      </c>
      <c r="E20" s="243">
        <f>B3</f>
        <v>0.09</v>
      </c>
      <c r="F20" s="244">
        <f t="shared" si="3"/>
        <v>13.5</v>
      </c>
      <c r="G20" s="245">
        <v>0.14</v>
      </c>
      <c r="H20" s="127">
        <f t="shared" si="4"/>
        <v>21</v>
      </c>
      <c r="I20" s="125">
        <v>3.0</v>
      </c>
      <c r="J20" s="384">
        <v>51.0</v>
      </c>
      <c r="K20" s="384">
        <v>0.0</v>
      </c>
      <c r="L20" s="384">
        <v>10.5</v>
      </c>
      <c r="M20" s="384"/>
      <c r="N20" s="385">
        <v>75.0</v>
      </c>
      <c r="O20" s="127">
        <f t="shared" si="5"/>
        <v>174</v>
      </c>
      <c r="P20" s="127">
        <f t="shared" si="6"/>
        <v>1.16</v>
      </c>
      <c r="Q20" s="246">
        <v>3.0</v>
      </c>
      <c r="R20" s="127">
        <f t="shared" si="7"/>
        <v>696</v>
      </c>
      <c r="S20" s="128">
        <f t="shared" si="8"/>
        <v>4.64</v>
      </c>
    </row>
    <row r="21" ht="52.5" customHeight="1">
      <c r="A21" s="123" t="s">
        <v>376</v>
      </c>
      <c r="B21" s="123" t="s">
        <v>374</v>
      </c>
      <c r="C21" s="124">
        <v>50.0</v>
      </c>
      <c r="D21" s="171">
        <f t="shared" si="2"/>
        <v>50</v>
      </c>
      <c r="E21" s="243">
        <f>B3</f>
        <v>0.09</v>
      </c>
      <c r="F21" s="244">
        <f t="shared" si="3"/>
        <v>4.5</v>
      </c>
      <c r="G21" s="245">
        <v>0.14</v>
      </c>
      <c r="H21" s="127">
        <f t="shared" si="4"/>
        <v>7</v>
      </c>
      <c r="I21" s="125">
        <f>SUM(I10*D21)</f>
        <v>0</v>
      </c>
      <c r="J21" s="384">
        <v>25.0</v>
      </c>
      <c r="K21" s="384">
        <v>0.0</v>
      </c>
      <c r="L21" s="384">
        <v>3.5</v>
      </c>
      <c r="M21" s="384"/>
      <c r="N21" s="385">
        <f>B9*C21</f>
        <v>25</v>
      </c>
      <c r="O21" s="127">
        <f t="shared" si="5"/>
        <v>65</v>
      </c>
      <c r="P21" s="127">
        <f t="shared" si="6"/>
        <v>1.3</v>
      </c>
      <c r="Q21" s="246">
        <v>3.0</v>
      </c>
      <c r="R21" s="127">
        <f t="shared" si="7"/>
        <v>260</v>
      </c>
      <c r="S21" s="128">
        <f t="shared" si="8"/>
        <v>5.2</v>
      </c>
    </row>
    <row r="22" ht="52.5" customHeight="1">
      <c r="A22" s="123" t="s">
        <v>377</v>
      </c>
      <c r="B22" s="123" t="s">
        <v>378</v>
      </c>
      <c r="C22" s="124">
        <v>200.0</v>
      </c>
      <c r="D22" s="171">
        <f t="shared" si="2"/>
        <v>200</v>
      </c>
      <c r="E22" s="243">
        <f>B3</f>
        <v>0.09</v>
      </c>
      <c r="F22" s="244">
        <f t="shared" si="3"/>
        <v>18</v>
      </c>
      <c r="G22" s="245">
        <v>0.14</v>
      </c>
      <c r="H22" s="127">
        <f t="shared" si="4"/>
        <v>28</v>
      </c>
      <c r="I22" s="125">
        <f>SUM(I3*D22)</f>
        <v>4</v>
      </c>
      <c r="J22" s="384">
        <v>68.0</v>
      </c>
      <c r="K22" s="384">
        <v>170.0</v>
      </c>
      <c r="L22" s="384">
        <f>R3*D22</f>
        <v>14</v>
      </c>
      <c r="M22" s="384"/>
      <c r="N22" s="385">
        <f>B9*C22</f>
        <v>100</v>
      </c>
      <c r="O22" s="127">
        <f t="shared" si="5"/>
        <v>402</v>
      </c>
      <c r="P22" s="127">
        <f t="shared" si="6"/>
        <v>2.01</v>
      </c>
      <c r="Q22" s="246">
        <v>3.0</v>
      </c>
      <c r="R22" s="127">
        <f t="shared" si="7"/>
        <v>1608</v>
      </c>
      <c r="S22" s="128">
        <f t="shared" si="8"/>
        <v>8.04</v>
      </c>
    </row>
    <row r="23" ht="52.5" customHeight="1">
      <c r="A23" s="123" t="s">
        <v>379</v>
      </c>
      <c r="B23" s="123" t="s">
        <v>380</v>
      </c>
      <c r="C23" s="124">
        <v>50.0</v>
      </c>
      <c r="D23" s="171">
        <f t="shared" si="2"/>
        <v>50</v>
      </c>
      <c r="E23" s="243">
        <f>B3</f>
        <v>0.09</v>
      </c>
      <c r="F23" s="244">
        <f t="shared" si="3"/>
        <v>4.5</v>
      </c>
      <c r="G23" s="245">
        <v>0.14</v>
      </c>
      <c r="H23" s="127">
        <f t="shared" si="4"/>
        <v>7</v>
      </c>
      <c r="I23" s="125">
        <v>4.0</v>
      </c>
      <c r="J23" s="384">
        <v>8.5</v>
      </c>
      <c r="K23" s="384">
        <v>0.0</v>
      </c>
      <c r="L23" s="384">
        <f>R3*D23</f>
        <v>3.5</v>
      </c>
      <c r="M23" s="384"/>
      <c r="N23" s="385">
        <f>B9*C23</f>
        <v>25</v>
      </c>
      <c r="O23" s="127">
        <f t="shared" si="5"/>
        <v>52.5</v>
      </c>
      <c r="P23" s="127">
        <f t="shared" si="6"/>
        <v>1.05</v>
      </c>
      <c r="Q23" s="246">
        <v>3.0</v>
      </c>
      <c r="R23" s="127">
        <f t="shared" si="7"/>
        <v>210</v>
      </c>
      <c r="S23" s="128">
        <f t="shared" si="8"/>
        <v>4.2</v>
      </c>
    </row>
    <row r="24" ht="52.5" customHeight="1">
      <c r="A24" s="123" t="s">
        <v>379</v>
      </c>
      <c r="B24" s="123" t="s">
        <v>380</v>
      </c>
      <c r="C24" s="124">
        <v>50.0</v>
      </c>
      <c r="D24" s="171">
        <f t="shared" si="2"/>
        <v>50</v>
      </c>
      <c r="E24" s="243">
        <f>B3</f>
        <v>0.09</v>
      </c>
      <c r="F24" s="244">
        <f t="shared" si="3"/>
        <v>4.5</v>
      </c>
      <c r="G24" s="245">
        <v>0.14</v>
      </c>
      <c r="H24" s="127">
        <f t="shared" si="4"/>
        <v>7</v>
      </c>
      <c r="I24" s="125">
        <v>4.0</v>
      </c>
      <c r="J24" s="384">
        <v>8.5</v>
      </c>
      <c r="K24" s="384">
        <v>0.0</v>
      </c>
      <c r="L24" s="384">
        <f>R3*D24</f>
        <v>3.5</v>
      </c>
      <c r="M24" s="384"/>
      <c r="N24" s="385">
        <v>25.0</v>
      </c>
      <c r="O24" s="127">
        <f t="shared" si="5"/>
        <v>52.5</v>
      </c>
      <c r="P24" s="127">
        <f t="shared" si="6"/>
        <v>1.05</v>
      </c>
      <c r="Q24" s="246">
        <v>3.0</v>
      </c>
      <c r="R24" s="127">
        <f t="shared" si="7"/>
        <v>210</v>
      </c>
      <c r="S24" s="128">
        <f t="shared" si="8"/>
        <v>4.2</v>
      </c>
    </row>
    <row r="25" ht="52.5" customHeight="1">
      <c r="A25" s="123" t="s">
        <v>379</v>
      </c>
      <c r="B25" s="123" t="s">
        <v>380</v>
      </c>
      <c r="C25" s="124">
        <v>100.0</v>
      </c>
      <c r="D25" s="171">
        <f t="shared" si="2"/>
        <v>100</v>
      </c>
      <c r="E25" s="243">
        <f>B3</f>
        <v>0.09</v>
      </c>
      <c r="F25" s="244">
        <f t="shared" si="3"/>
        <v>9</v>
      </c>
      <c r="G25" s="245">
        <v>0.14</v>
      </c>
      <c r="H25" s="127">
        <f t="shared" si="4"/>
        <v>14</v>
      </c>
      <c r="I25" s="125">
        <f>SUM(I3*D25)</f>
        <v>2</v>
      </c>
      <c r="J25" s="384">
        <v>34.0</v>
      </c>
      <c r="K25" s="384">
        <v>0.0</v>
      </c>
      <c r="L25" s="384">
        <f>R3*D25</f>
        <v>7</v>
      </c>
      <c r="M25" s="384"/>
      <c r="N25" s="385">
        <f>B9*D25</f>
        <v>50</v>
      </c>
      <c r="O25" s="127">
        <f t="shared" ref="O25:O27" si="9">F25+H25+I25+J25+K25+L25+N25+M25</f>
        <v>116</v>
      </c>
      <c r="P25" s="127">
        <f t="shared" si="6"/>
        <v>1.16</v>
      </c>
      <c r="Q25" s="246">
        <v>3.0</v>
      </c>
      <c r="R25" s="127">
        <f t="shared" si="7"/>
        <v>464</v>
      </c>
      <c r="S25" s="128">
        <f t="shared" si="8"/>
        <v>4.64</v>
      </c>
      <c r="T25" s="386">
        <v>45540.0</v>
      </c>
    </row>
    <row r="26" ht="52.5" customHeight="1">
      <c r="A26" s="123" t="s">
        <v>379</v>
      </c>
      <c r="B26" s="123" t="s">
        <v>381</v>
      </c>
      <c r="C26" s="124">
        <v>250.0</v>
      </c>
      <c r="D26" s="171">
        <f t="shared" si="2"/>
        <v>250</v>
      </c>
      <c r="E26" s="243">
        <f>B3</f>
        <v>0.09</v>
      </c>
      <c r="F26" s="244">
        <f t="shared" si="3"/>
        <v>22.5</v>
      </c>
      <c r="G26" s="245">
        <v>0.14</v>
      </c>
      <c r="H26" s="127">
        <f t="shared" si="4"/>
        <v>35</v>
      </c>
      <c r="I26" s="125">
        <f t="shared" ref="I26:I27" si="10">SUM(I3*D26)</f>
        <v>5</v>
      </c>
      <c r="J26" s="384">
        <v>85.0</v>
      </c>
      <c r="K26" s="384">
        <v>0.0</v>
      </c>
      <c r="L26" s="384">
        <f t="shared" ref="L26:L27" si="11">R3*D26</f>
        <v>17.5</v>
      </c>
      <c r="M26" s="384">
        <f t="shared" ref="M26:M27" si="12">C26*E9</f>
        <v>125</v>
      </c>
      <c r="N26" s="385">
        <v>0.0</v>
      </c>
      <c r="O26" s="127">
        <f t="shared" si="9"/>
        <v>290</v>
      </c>
      <c r="P26" s="127">
        <f t="shared" si="6"/>
        <v>1.16</v>
      </c>
      <c r="Q26" s="246">
        <v>3.0</v>
      </c>
      <c r="R26" s="127">
        <f t="shared" si="7"/>
        <v>1160</v>
      </c>
      <c r="S26" s="128">
        <f t="shared" si="8"/>
        <v>4.64</v>
      </c>
      <c r="T26" s="386">
        <v>45541.0</v>
      </c>
    </row>
    <row r="27" ht="52.5" customHeight="1">
      <c r="A27" s="123" t="s">
        <v>379</v>
      </c>
      <c r="B27" s="123" t="s">
        <v>381</v>
      </c>
      <c r="C27" s="124">
        <v>300.0</v>
      </c>
      <c r="D27" s="171">
        <f>C27/2</f>
        <v>150</v>
      </c>
      <c r="E27" s="243">
        <v>0.09</v>
      </c>
      <c r="F27" s="244">
        <f t="shared" si="3"/>
        <v>13.5</v>
      </c>
      <c r="G27" s="245">
        <v>0.14</v>
      </c>
      <c r="H27" s="127">
        <f t="shared" si="4"/>
        <v>21</v>
      </c>
      <c r="I27" s="125">
        <f t="shared" si="10"/>
        <v>0</v>
      </c>
      <c r="J27" s="384">
        <v>102.0</v>
      </c>
      <c r="K27" s="384">
        <v>0.0</v>
      </c>
      <c r="L27" s="384">
        <f t="shared" si="11"/>
        <v>0</v>
      </c>
      <c r="M27" s="384">
        <f t="shared" si="12"/>
        <v>0</v>
      </c>
      <c r="N27" s="385">
        <f>C27*B9</f>
        <v>150</v>
      </c>
      <c r="O27" s="127">
        <f t="shared" si="9"/>
        <v>286.5</v>
      </c>
      <c r="P27" s="127">
        <f t="shared" si="6"/>
        <v>0.955</v>
      </c>
      <c r="Q27" s="246">
        <v>3.0</v>
      </c>
      <c r="R27" s="127">
        <f t="shared" si="7"/>
        <v>1146</v>
      </c>
      <c r="S27" s="128">
        <f t="shared" si="8"/>
        <v>3.82</v>
      </c>
      <c r="T27" s="386">
        <v>45541.0</v>
      </c>
    </row>
    <row r="28" ht="52.5" customHeight="1">
      <c r="A28" s="123"/>
      <c r="B28" s="123"/>
      <c r="C28" s="124"/>
      <c r="D28" s="171"/>
      <c r="E28" s="243"/>
      <c r="F28" s="244"/>
      <c r="G28" s="245"/>
      <c r="H28" s="387"/>
      <c r="I28" s="125"/>
      <c r="J28" s="384"/>
      <c r="K28" s="384"/>
      <c r="L28" s="384"/>
      <c r="M28" s="384"/>
      <c r="N28" s="385"/>
      <c r="O28" s="127"/>
      <c r="P28" s="127"/>
      <c r="Q28" s="388"/>
      <c r="R28" s="127">
        <f t="shared" si="7"/>
        <v>0</v>
      </c>
      <c r="S28" s="162"/>
    </row>
    <row r="29" ht="52.5" customHeight="1">
      <c r="A29" s="123"/>
      <c r="B29" s="123"/>
      <c r="C29" s="124"/>
      <c r="D29" s="171"/>
      <c r="E29" s="243"/>
      <c r="F29" s="244"/>
      <c r="G29" s="245"/>
      <c r="H29" s="387"/>
      <c r="I29" s="125"/>
      <c r="J29" s="384"/>
      <c r="K29" s="384"/>
      <c r="L29" s="384"/>
      <c r="M29" s="384"/>
      <c r="N29" s="385"/>
      <c r="O29" s="127"/>
      <c r="P29" s="127"/>
      <c r="Q29" s="388"/>
      <c r="R29" s="127">
        <f t="shared" si="7"/>
        <v>0</v>
      </c>
      <c r="S29" s="162"/>
    </row>
    <row r="30">
      <c r="D30" s="73"/>
      <c r="E30" s="285"/>
      <c r="F30" s="73"/>
      <c r="G30" s="286"/>
      <c r="H30" s="27"/>
      <c r="J30" s="389"/>
      <c r="K30" s="389"/>
      <c r="L30" s="389"/>
      <c r="M30" s="389"/>
      <c r="N30" s="5"/>
      <c r="Q30" s="5"/>
      <c r="R30" s="183"/>
    </row>
    <row r="31">
      <c r="D31" s="73"/>
      <c r="E31" s="285"/>
      <c r="F31" s="73"/>
      <c r="G31" s="286"/>
      <c r="H31" s="27"/>
      <c r="J31" s="389"/>
      <c r="K31" s="389"/>
      <c r="L31" s="389"/>
      <c r="M31" s="389"/>
      <c r="N31" s="5"/>
      <c r="Q31" s="5"/>
      <c r="R31" s="183"/>
    </row>
    <row r="32">
      <c r="D32" s="73"/>
      <c r="E32" s="285"/>
      <c r="F32" s="73"/>
      <c r="G32" s="286"/>
      <c r="H32" s="27"/>
      <c r="J32" s="389"/>
      <c r="K32" s="389"/>
      <c r="L32" s="389"/>
      <c r="M32" s="389"/>
      <c r="N32" s="5"/>
      <c r="Q32" s="5"/>
      <c r="R32" s="183"/>
    </row>
    <row r="33">
      <c r="D33" s="73"/>
      <c r="E33" s="285"/>
      <c r="F33" s="73"/>
      <c r="G33" s="286"/>
      <c r="H33" s="27"/>
      <c r="J33" s="389"/>
      <c r="K33" s="389"/>
      <c r="L33" s="389"/>
      <c r="M33" s="389"/>
      <c r="N33" s="5"/>
      <c r="Q33" s="5"/>
      <c r="R33" s="183"/>
    </row>
    <row r="34">
      <c r="D34" s="73"/>
      <c r="E34" s="285"/>
      <c r="F34" s="73"/>
      <c r="G34" s="286"/>
      <c r="H34" s="27"/>
      <c r="J34" s="389"/>
      <c r="K34" s="389"/>
      <c r="L34" s="389"/>
      <c r="M34" s="389"/>
      <c r="N34" s="5"/>
      <c r="Q34" s="5"/>
      <c r="R34" s="183"/>
    </row>
    <row r="35">
      <c r="D35" s="73"/>
      <c r="E35" s="285"/>
      <c r="F35" s="73"/>
      <c r="G35" s="286"/>
      <c r="H35" s="27"/>
      <c r="J35" s="389"/>
      <c r="K35" s="389"/>
      <c r="L35" s="389"/>
      <c r="M35" s="389"/>
      <c r="N35" s="5"/>
      <c r="Q35" s="5"/>
      <c r="R35" s="183"/>
    </row>
    <row r="36">
      <c r="D36" s="73"/>
      <c r="E36" s="285"/>
      <c r="F36" s="73"/>
      <c r="G36" s="286"/>
      <c r="H36" s="27"/>
      <c r="J36" s="389"/>
      <c r="K36" s="389"/>
      <c r="L36" s="389"/>
      <c r="M36" s="389"/>
      <c r="N36" s="5"/>
      <c r="Q36" s="5"/>
      <c r="R36" s="183"/>
    </row>
    <row r="37">
      <c r="D37" s="73"/>
      <c r="E37" s="285"/>
      <c r="F37" s="73"/>
      <c r="G37" s="286"/>
      <c r="H37" s="27"/>
      <c r="J37" s="389"/>
      <c r="K37" s="389"/>
      <c r="L37" s="389"/>
      <c r="M37" s="389"/>
      <c r="N37" s="5"/>
      <c r="Q37" s="5"/>
      <c r="R37" s="183"/>
    </row>
    <row r="38">
      <c r="D38" s="73"/>
      <c r="E38" s="285"/>
      <c r="F38" s="73"/>
      <c r="G38" s="286"/>
      <c r="H38" s="27"/>
      <c r="J38" s="389"/>
      <c r="K38" s="389"/>
      <c r="L38" s="389"/>
      <c r="M38" s="389"/>
      <c r="N38" s="5"/>
      <c r="Q38" s="5"/>
      <c r="R38" s="183"/>
    </row>
    <row r="39">
      <c r="D39" s="73"/>
      <c r="E39" s="285"/>
      <c r="F39" s="73"/>
      <c r="G39" s="286"/>
      <c r="H39" s="27"/>
      <c r="J39" s="389"/>
      <c r="K39" s="389"/>
      <c r="L39" s="389"/>
      <c r="M39" s="389"/>
      <c r="N39" s="5"/>
      <c r="Q39" s="5"/>
      <c r="R39" s="183"/>
    </row>
    <row r="40">
      <c r="D40" s="73"/>
      <c r="E40" s="285"/>
      <c r="F40" s="73"/>
      <c r="G40" s="286"/>
      <c r="H40" s="27"/>
      <c r="J40" s="389"/>
      <c r="K40" s="389"/>
      <c r="L40" s="389"/>
      <c r="M40" s="389"/>
      <c r="N40" s="5"/>
      <c r="Q40" s="5"/>
      <c r="R40" s="183"/>
    </row>
    <row r="41">
      <c r="D41" s="73"/>
      <c r="E41" s="285"/>
      <c r="F41" s="73"/>
      <c r="G41" s="286"/>
      <c r="H41" s="27"/>
      <c r="J41" s="389"/>
      <c r="K41" s="389"/>
      <c r="L41" s="389"/>
      <c r="M41" s="389"/>
      <c r="N41" s="5"/>
      <c r="Q41" s="5"/>
      <c r="R41" s="183"/>
    </row>
    <row r="42">
      <c r="D42" s="73"/>
      <c r="E42" s="285"/>
      <c r="F42" s="73"/>
      <c r="G42" s="286"/>
      <c r="H42" s="27"/>
      <c r="J42" s="389"/>
      <c r="K42" s="389"/>
      <c r="L42" s="389"/>
      <c r="M42" s="389"/>
      <c r="N42" s="5"/>
      <c r="Q42" s="5"/>
      <c r="R42" s="183"/>
    </row>
    <row r="43">
      <c r="D43" s="73"/>
      <c r="E43" s="285"/>
      <c r="F43" s="73"/>
      <c r="G43" s="286"/>
      <c r="H43" s="27"/>
      <c r="J43" s="389"/>
      <c r="K43" s="389"/>
      <c r="L43" s="389"/>
      <c r="M43" s="389"/>
      <c r="N43" s="5"/>
      <c r="Q43" s="5"/>
      <c r="R43" s="183"/>
    </row>
    <row r="44">
      <c r="D44" s="73"/>
      <c r="E44" s="285"/>
      <c r="F44" s="73"/>
      <c r="G44" s="286"/>
      <c r="H44" s="27"/>
      <c r="J44" s="389"/>
      <c r="K44" s="389"/>
      <c r="L44" s="389"/>
      <c r="M44" s="389"/>
      <c r="N44" s="5"/>
      <c r="Q44" s="5"/>
      <c r="R44" s="183"/>
    </row>
    <row r="45">
      <c r="D45" s="73"/>
      <c r="E45" s="285"/>
      <c r="F45" s="73"/>
      <c r="G45" s="286"/>
      <c r="H45" s="27"/>
      <c r="J45" s="389"/>
      <c r="K45" s="389"/>
      <c r="L45" s="389"/>
      <c r="M45" s="389"/>
      <c r="N45" s="5"/>
      <c r="Q45" s="5"/>
      <c r="R45" s="183"/>
    </row>
    <row r="46">
      <c r="D46" s="73"/>
      <c r="E46" s="285"/>
      <c r="F46" s="73"/>
      <c r="G46" s="286"/>
      <c r="H46" s="27"/>
      <c r="J46" s="389"/>
      <c r="K46" s="389"/>
      <c r="L46" s="389"/>
      <c r="M46" s="389"/>
      <c r="N46" s="5"/>
      <c r="Q46" s="5"/>
      <c r="R46" s="183"/>
    </row>
    <row r="47">
      <c r="D47" s="73"/>
      <c r="E47" s="285"/>
      <c r="F47" s="73"/>
      <c r="G47" s="286"/>
      <c r="H47" s="27"/>
      <c r="J47" s="389"/>
      <c r="K47" s="389"/>
      <c r="L47" s="389"/>
      <c r="M47" s="389"/>
      <c r="N47" s="5"/>
      <c r="Q47" s="5"/>
      <c r="R47" s="183"/>
    </row>
    <row r="48">
      <c r="D48" s="73"/>
      <c r="E48" s="285"/>
      <c r="F48" s="73"/>
      <c r="G48" s="286"/>
      <c r="H48" s="27"/>
      <c r="J48" s="389"/>
      <c r="K48" s="389"/>
      <c r="L48" s="389"/>
      <c r="M48" s="389"/>
      <c r="N48" s="5"/>
      <c r="Q48" s="5"/>
      <c r="R48" s="183"/>
    </row>
    <row r="49">
      <c r="D49" s="73"/>
      <c r="E49" s="285"/>
      <c r="F49" s="73"/>
      <c r="G49" s="286"/>
      <c r="H49" s="27"/>
      <c r="J49" s="389"/>
      <c r="K49" s="389"/>
      <c r="L49" s="389"/>
      <c r="M49" s="389"/>
      <c r="N49" s="5"/>
      <c r="Q49" s="5"/>
      <c r="R49" s="183"/>
    </row>
    <row r="50">
      <c r="D50" s="73"/>
      <c r="E50" s="285"/>
      <c r="F50" s="73"/>
      <c r="G50" s="286"/>
      <c r="H50" s="27"/>
      <c r="J50" s="389"/>
      <c r="K50" s="389"/>
      <c r="L50" s="389"/>
      <c r="M50" s="389"/>
      <c r="N50" s="5"/>
      <c r="Q50" s="5"/>
      <c r="R50" s="183"/>
    </row>
    <row r="51">
      <c r="D51" s="73"/>
      <c r="E51" s="285"/>
      <c r="F51" s="73"/>
      <c r="G51" s="286"/>
      <c r="H51" s="27"/>
      <c r="J51" s="389"/>
      <c r="K51" s="389"/>
      <c r="L51" s="389"/>
      <c r="M51" s="389"/>
      <c r="N51" s="5"/>
      <c r="Q51" s="5"/>
      <c r="R51" s="183"/>
    </row>
    <row r="52">
      <c r="D52" s="73"/>
      <c r="E52" s="285"/>
      <c r="F52" s="73"/>
      <c r="G52" s="286"/>
      <c r="H52" s="27"/>
      <c r="J52" s="389"/>
      <c r="K52" s="389"/>
      <c r="L52" s="389"/>
      <c r="M52" s="389"/>
      <c r="N52" s="5"/>
      <c r="Q52" s="5"/>
      <c r="R52" s="183"/>
    </row>
    <row r="53">
      <c r="D53" s="73"/>
      <c r="E53" s="285"/>
      <c r="F53" s="73"/>
      <c r="G53" s="286"/>
      <c r="H53" s="27"/>
      <c r="J53" s="389"/>
      <c r="K53" s="389"/>
      <c r="L53" s="389"/>
      <c r="M53" s="389"/>
      <c r="N53" s="5"/>
      <c r="Q53" s="5"/>
      <c r="R53" s="183"/>
    </row>
    <row r="54">
      <c r="D54" s="73"/>
      <c r="E54" s="285"/>
      <c r="F54" s="73"/>
      <c r="G54" s="286"/>
      <c r="H54" s="27"/>
      <c r="J54" s="389"/>
      <c r="K54" s="389"/>
      <c r="L54" s="389"/>
      <c r="M54" s="389"/>
      <c r="N54" s="5"/>
      <c r="Q54" s="5"/>
      <c r="R54" s="183"/>
    </row>
    <row r="55">
      <c r="D55" s="73"/>
      <c r="E55" s="285"/>
      <c r="F55" s="73"/>
      <c r="G55" s="286"/>
      <c r="H55" s="27"/>
      <c r="J55" s="389"/>
      <c r="K55" s="389"/>
      <c r="L55" s="389"/>
      <c r="M55" s="389"/>
      <c r="N55" s="5"/>
      <c r="Q55" s="5"/>
      <c r="R55" s="183"/>
    </row>
    <row r="56">
      <c r="D56" s="73"/>
      <c r="E56" s="285"/>
      <c r="F56" s="73"/>
      <c r="G56" s="286"/>
      <c r="H56" s="27"/>
      <c r="J56" s="389"/>
      <c r="K56" s="389"/>
      <c r="L56" s="389"/>
      <c r="M56" s="389"/>
      <c r="N56" s="5"/>
      <c r="Q56" s="5"/>
      <c r="R56" s="183"/>
    </row>
    <row r="57">
      <c r="D57" s="73"/>
      <c r="E57" s="285"/>
      <c r="F57" s="73"/>
      <c r="G57" s="286"/>
      <c r="H57" s="27"/>
      <c r="J57" s="389"/>
      <c r="K57" s="389"/>
      <c r="L57" s="389"/>
      <c r="M57" s="389"/>
      <c r="N57" s="5"/>
      <c r="Q57" s="5"/>
      <c r="R57" s="183"/>
    </row>
    <row r="58">
      <c r="D58" s="73"/>
      <c r="E58" s="285"/>
      <c r="F58" s="73"/>
      <c r="G58" s="286"/>
      <c r="H58" s="27"/>
      <c r="J58" s="389"/>
      <c r="K58" s="389"/>
      <c r="L58" s="389"/>
      <c r="M58" s="389"/>
      <c r="N58" s="5"/>
      <c r="Q58" s="5"/>
      <c r="R58" s="183"/>
    </row>
    <row r="59">
      <c r="D59" s="73"/>
      <c r="E59" s="285"/>
      <c r="F59" s="73"/>
      <c r="G59" s="286"/>
      <c r="H59" s="27"/>
      <c r="J59" s="389"/>
      <c r="K59" s="389"/>
      <c r="L59" s="389"/>
      <c r="M59" s="389"/>
      <c r="N59" s="5"/>
      <c r="Q59" s="5"/>
      <c r="R59" s="183"/>
    </row>
    <row r="60">
      <c r="D60" s="73"/>
      <c r="E60" s="285"/>
      <c r="F60" s="73"/>
      <c r="G60" s="286"/>
      <c r="H60" s="27"/>
      <c r="J60" s="389"/>
      <c r="K60" s="389"/>
      <c r="L60" s="389"/>
      <c r="M60" s="389"/>
      <c r="N60" s="5"/>
      <c r="Q60" s="5"/>
      <c r="R60" s="183"/>
    </row>
    <row r="61">
      <c r="D61" s="73"/>
      <c r="E61" s="285"/>
      <c r="F61" s="73"/>
      <c r="G61" s="286"/>
      <c r="H61" s="27"/>
      <c r="J61" s="389"/>
      <c r="K61" s="389"/>
      <c r="L61" s="389"/>
      <c r="M61" s="389"/>
      <c r="N61" s="5"/>
      <c r="Q61" s="5"/>
      <c r="R61" s="183"/>
    </row>
    <row r="62">
      <c r="D62" s="73"/>
      <c r="E62" s="285"/>
      <c r="F62" s="73"/>
      <c r="G62" s="286"/>
      <c r="H62" s="27"/>
      <c r="J62" s="389"/>
      <c r="K62" s="389"/>
      <c r="L62" s="389"/>
      <c r="M62" s="389"/>
      <c r="N62" s="5"/>
      <c r="Q62" s="5"/>
      <c r="R62" s="183"/>
    </row>
    <row r="63">
      <c r="D63" s="73"/>
      <c r="E63" s="285"/>
      <c r="F63" s="73"/>
      <c r="G63" s="286"/>
      <c r="H63" s="27"/>
      <c r="J63" s="389"/>
      <c r="K63" s="389"/>
      <c r="L63" s="389"/>
      <c r="M63" s="389"/>
      <c r="N63" s="5"/>
      <c r="Q63" s="5"/>
      <c r="R63" s="183"/>
    </row>
    <row r="64">
      <c r="D64" s="73"/>
      <c r="E64" s="285"/>
      <c r="F64" s="73"/>
      <c r="G64" s="286"/>
      <c r="H64" s="27"/>
      <c r="J64" s="389"/>
      <c r="K64" s="389"/>
      <c r="L64" s="389"/>
      <c r="M64" s="389"/>
      <c r="N64" s="5"/>
      <c r="Q64" s="5"/>
      <c r="R64" s="183"/>
    </row>
    <row r="65">
      <c r="D65" s="73"/>
      <c r="E65" s="285"/>
      <c r="F65" s="73"/>
      <c r="G65" s="286"/>
      <c r="H65" s="27"/>
      <c r="J65" s="389"/>
      <c r="K65" s="389"/>
      <c r="L65" s="389"/>
      <c r="M65" s="389"/>
      <c r="N65" s="5"/>
      <c r="Q65" s="5"/>
      <c r="R65" s="183"/>
    </row>
    <row r="66">
      <c r="D66" s="73"/>
      <c r="E66" s="285"/>
      <c r="F66" s="73"/>
      <c r="G66" s="286"/>
      <c r="H66" s="27"/>
      <c r="J66" s="389"/>
      <c r="K66" s="389"/>
      <c r="L66" s="389"/>
      <c r="M66" s="389"/>
      <c r="N66" s="5"/>
      <c r="Q66" s="5"/>
      <c r="R66" s="183"/>
    </row>
    <row r="67">
      <c r="D67" s="73"/>
      <c r="E67" s="285"/>
      <c r="F67" s="73"/>
      <c r="G67" s="286"/>
      <c r="H67" s="27"/>
      <c r="J67" s="389"/>
      <c r="K67" s="389"/>
      <c r="L67" s="389"/>
      <c r="M67" s="389"/>
      <c r="N67" s="5"/>
      <c r="Q67" s="5"/>
      <c r="R67" s="183"/>
    </row>
    <row r="68">
      <c r="D68" s="73"/>
      <c r="E68" s="285"/>
      <c r="F68" s="73"/>
      <c r="G68" s="286"/>
      <c r="H68" s="27"/>
      <c r="J68" s="389"/>
      <c r="K68" s="389"/>
      <c r="L68" s="389"/>
      <c r="M68" s="389"/>
      <c r="N68" s="5"/>
      <c r="Q68" s="5"/>
      <c r="R68" s="183"/>
    </row>
    <row r="69">
      <c r="D69" s="73"/>
      <c r="E69" s="285"/>
      <c r="F69" s="73"/>
      <c r="G69" s="286"/>
      <c r="H69" s="27"/>
      <c r="J69" s="389"/>
      <c r="K69" s="389"/>
      <c r="L69" s="389"/>
      <c r="M69" s="389"/>
      <c r="N69" s="5"/>
      <c r="Q69" s="5"/>
      <c r="R69" s="183"/>
    </row>
    <row r="70">
      <c r="D70" s="73"/>
      <c r="E70" s="285"/>
      <c r="F70" s="73"/>
      <c r="G70" s="286"/>
      <c r="H70" s="27"/>
      <c r="J70" s="389"/>
      <c r="K70" s="389"/>
      <c r="L70" s="389"/>
      <c r="M70" s="389"/>
      <c r="N70" s="5"/>
      <c r="Q70" s="5"/>
      <c r="R70" s="183"/>
    </row>
    <row r="71">
      <c r="D71" s="73"/>
      <c r="E71" s="285"/>
      <c r="F71" s="73"/>
      <c r="G71" s="286"/>
      <c r="H71" s="27"/>
      <c r="J71" s="389"/>
      <c r="K71" s="389"/>
      <c r="L71" s="389"/>
      <c r="M71" s="389"/>
      <c r="N71" s="5"/>
      <c r="Q71" s="5"/>
      <c r="R71" s="183"/>
    </row>
    <row r="72">
      <c r="D72" s="73"/>
      <c r="E72" s="285"/>
      <c r="F72" s="73"/>
      <c r="G72" s="286"/>
      <c r="H72" s="27"/>
      <c r="J72" s="389"/>
      <c r="K72" s="389"/>
      <c r="L72" s="389"/>
      <c r="M72" s="389"/>
      <c r="N72" s="5"/>
      <c r="Q72" s="5"/>
      <c r="R72" s="183"/>
    </row>
    <row r="73">
      <c r="D73" s="73"/>
      <c r="E73" s="285"/>
      <c r="F73" s="73"/>
      <c r="G73" s="286"/>
      <c r="H73" s="27"/>
      <c r="J73" s="389"/>
      <c r="K73" s="389"/>
      <c r="L73" s="389"/>
      <c r="M73" s="389"/>
      <c r="N73" s="5"/>
      <c r="Q73" s="5"/>
      <c r="R73" s="183"/>
    </row>
    <row r="74">
      <c r="D74" s="73"/>
      <c r="E74" s="285"/>
      <c r="F74" s="73"/>
      <c r="G74" s="286"/>
      <c r="H74" s="27"/>
      <c r="J74" s="389"/>
      <c r="K74" s="389"/>
      <c r="L74" s="389"/>
      <c r="M74" s="389"/>
      <c r="N74" s="5"/>
      <c r="Q74" s="5"/>
      <c r="R74" s="183"/>
    </row>
    <row r="75">
      <c r="D75" s="73"/>
      <c r="E75" s="285"/>
      <c r="F75" s="73"/>
      <c r="G75" s="286"/>
      <c r="H75" s="27"/>
      <c r="J75" s="389"/>
      <c r="K75" s="389"/>
      <c r="L75" s="389"/>
      <c r="M75" s="389"/>
      <c r="N75" s="5"/>
      <c r="Q75" s="5"/>
      <c r="R75" s="183"/>
    </row>
    <row r="76">
      <c r="D76" s="73"/>
      <c r="E76" s="285"/>
      <c r="F76" s="73"/>
      <c r="G76" s="286"/>
      <c r="H76" s="27"/>
      <c r="J76" s="389"/>
      <c r="K76" s="389"/>
      <c r="L76" s="389"/>
      <c r="M76" s="389"/>
      <c r="N76" s="5"/>
      <c r="Q76" s="5"/>
      <c r="R76" s="183"/>
    </row>
    <row r="77">
      <c r="D77" s="73"/>
      <c r="E77" s="285"/>
      <c r="F77" s="73"/>
      <c r="G77" s="286"/>
      <c r="H77" s="27"/>
      <c r="J77" s="389"/>
      <c r="K77" s="389"/>
      <c r="L77" s="389"/>
      <c r="M77" s="389"/>
      <c r="N77" s="5"/>
      <c r="Q77" s="5"/>
      <c r="R77" s="183"/>
    </row>
    <row r="78">
      <c r="D78" s="73"/>
      <c r="E78" s="285"/>
      <c r="F78" s="73"/>
      <c r="G78" s="286"/>
      <c r="H78" s="27"/>
      <c r="J78" s="389"/>
      <c r="K78" s="389"/>
      <c r="L78" s="389"/>
      <c r="M78" s="389"/>
      <c r="N78" s="5"/>
      <c r="Q78" s="5"/>
      <c r="R78" s="183"/>
    </row>
    <row r="79">
      <c r="D79" s="73"/>
      <c r="E79" s="285"/>
      <c r="F79" s="73"/>
      <c r="G79" s="286"/>
      <c r="H79" s="27"/>
      <c r="J79" s="389"/>
      <c r="K79" s="389"/>
      <c r="L79" s="389"/>
      <c r="M79" s="389"/>
      <c r="N79" s="5"/>
      <c r="Q79" s="5"/>
      <c r="R79" s="183"/>
    </row>
    <row r="80">
      <c r="D80" s="73"/>
      <c r="E80" s="285"/>
      <c r="F80" s="73"/>
      <c r="G80" s="286"/>
      <c r="H80" s="27"/>
      <c r="J80" s="389"/>
      <c r="K80" s="389"/>
      <c r="L80" s="389"/>
      <c r="M80" s="389"/>
      <c r="N80" s="5"/>
      <c r="Q80" s="5"/>
      <c r="R80" s="183"/>
    </row>
    <row r="81">
      <c r="D81" s="73"/>
      <c r="E81" s="285"/>
      <c r="F81" s="73"/>
      <c r="G81" s="286"/>
      <c r="H81" s="27"/>
      <c r="J81" s="389"/>
      <c r="K81" s="389"/>
      <c r="L81" s="389"/>
      <c r="M81" s="389"/>
      <c r="N81" s="5"/>
      <c r="Q81" s="5"/>
      <c r="R81" s="183"/>
    </row>
    <row r="82">
      <c r="D82" s="73"/>
      <c r="E82" s="285"/>
      <c r="F82" s="73"/>
      <c r="G82" s="286"/>
      <c r="H82" s="27"/>
      <c r="J82" s="389"/>
      <c r="K82" s="389"/>
      <c r="L82" s="389"/>
      <c r="M82" s="389"/>
      <c r="N82" s="5"/>
      <c r="Q82" s="5"/>
      <c r="R82" s="183"/>
    </row>
    <row r="83">
      <c r="D83" s="73"/>
      <c r="E83" s="285"/>
      <c r="F83" s="73"/>
      <c r="G83" s="286"/>
      <c r="H83" s="27"/>
      <c r="J83" s="389"/>
      <c r="K83" s="389"/>
      <c r="L83" s="389"/>
      <c r="M83" s="389"/>
      <c r="N83" s="5"/>
      <c r="Q83" s="5"/>
      <c r="R83" s="183"/>
    </row>
    <row r="84">
      <c r="D84" s="73"/>
      <c r="E84" s="285"/>
      <c r="F84" s="73"/>
      <c r="G84" s="286"/>
      <c r="H84" s="27"/>
      <c r="J84" s="389"/>
      <c r="K84" s="389"/>
      <c r="L84" s="389"/>
      <c r="M84" s="389"/>
      <c r="N84" s="5"/>
      <c r="Q84" s="5"/>
      <c r="R84" s="183"/>
    </row>
    <row r="85">
      <c r="D85" s="73"/>
      <c r="E85" s="285"/>
      <c r="F85" s="73"/>
      <c r="G85" s="286"/>
      <c r="H85" s="27"/>
      <c r="J85" s="389"/>
      <c r="K85" s="389"/>
      <c r="L85" s="389"/>
      <c r="M85" s="389"/>
      <c r="N85" s="5"/>
      <c r="Q85" s="5"/>
      <c r="R85" s="183"/>
    </row>
    <row r="86">
      <c r="D86" s="73"/>
      <c r="E86" s="285"/>
      <c r="F86" s="73"/>
      <c r="G86" s="286"/>
      <c r="H86" s="27"/>
      <c r="J86" s="389"/>
      <c r="K86" s="389"/>
      <c r="L86" s="389"/>
      <c r="M86" s="389"/>
      <c r="N86" s="5"/>
      <c r="Q86" s="5"/>
      <c r="R86" s="183"/>
    </row>
    <row r="87">
      <c r="D87" s="73"/>
      <c r="E87" s="285"/>
      <c r="F87" s="73"/>
      <c r="G87" s="286"/>
      <c r="H87" s="27"/>
      <c r="J87" s="389"/>
      <c r="K87" s="389"/>
      <c r="L87" s="389"/>
      <c r="M87" s="389"/>
      <c r="N87" s="5"/>
      <c r="Q87" s="5"/>
      <c r="R87" s="183"/>
    </row>
    <row r="88">
      <c r="D88" s="73"/>
      <c r="E88" s="285"/>
      <c r="F88" s="73"/>
      <c r="G88" s="286"/>
      <c r="H88" s="27"/>
      <c r="J88" s="389"/>
      <c r="K88" s="389"/>
      <c r="L88" s="389"/>
      <c r="M88" s="389"/>
      <c r="N88" s="5"/>
      <c r="Q88" s="5"/>
      <c r="R88" s="183"/>
    </row>
    <row r="89">
      <c r="D89" s="73"/>
      <c r="E89" s="285"/>
      <c r="F89" s="73"/>
      <c r="G89" s="286"/>
      <c r="H89" s="27"/>
      <c r="J89" s="389"/>
      <c r="K89" s="389"/>
      <c r="L89" s="389"/>
      <c r="M89" s="389"/>
      <c r="N89" s="5"/>
      <c r="Q89" s="5"/>
      <c r="R89" s="183"/>
    </row>
    <row r="90">
      <c r="D90" s="73"/>
      <c r="E90" s="285"/>
      <c r="F90" s="73"/>
      <c r="G90" s="286"/>
      <c r="H90" s="27"/>
      <c r="J90" s="389"/>
      <c r="K90" s="389"/>
      <c r="L90" s="389"/>
      <c r="M90" s="389"/>
      <c r="N90" s="5"/>
      <c r="Q90" s="5"/>
      <c r="R90" s="183"/>
    </row>
    <row r="91">
      <c r="D91" s="73"/>
      <c r="E91" s="285"/>
      <c r="F91" s="73"/>
      <c r="G91" s="286"/>
      <c r="H91" s="27"/>
      <c r="J91" s="389"/>
      <c r="K91" s="389"/>
      <c r="L91" s="389"/>
      <c r="M91" s="389"/>
      <c r="N91" s="5"/>
      <c r="Q91" s="5"/>
      <c r="R91" s="183"/>
    </row>
    <row r="92">
      <c r="D92" s="73"/>
      <c r="E92" s="285"/>
      <c r="F92" s="73"/>
      <c r="G92" s="286"/>
      <c r="H92" s="27"/>
      <c r="J92" s="389"/>
      <c r="K92" s="389"/>
      <c r="L92" s="389"/>
      <c r="M92" s="389"/>
      <c r="N92" s="5"/>
      <c r="Q92" s="5"/>
      <c r="R92" s="183"/>
    </row>
    <row r="93">
      <c r="D93" s="73"/>
      <c r="E93" s="285"/>
      <c r="F93" s="73"/>
      <c r="G93" s="286"/>
      <c r="H93" s="27"/>
      <c r="J93" s="389"/>
      <c r="K93" s="389"/>
      <c r="L93" s="389"/>
      <c r="M93" s="389"/>
      <c r="N93" s="5"/>
      <c r="Q93" s="5"/>
      <c r="R93" s="183"/>
    </row>
    <row r="94">
      <c r="D94" s="73"/>
      <c r="E94" s="285"/>
      <c r="F94" s="73"/>
      <c r="G94" s="286"/>
      <c r="H94" s="27"/>
      <c r="J94" s="389"/>
      <c r="K94" s="389"/>
      <c r="L94" s="389"/>
      <c r="M94" s="389"/>
      <c r="N94" s="5"/>
      <c r="Q94" s="5"/>
      <c r="R94" s="183"/>
    </row>
    <row r="95">
      <c r="D95" s="73"/>
      <c r="E95" s="285"/>
      <c r="F95" s="73"/>
      <c r="G95" s="286"/>
      <c r="H95" s="27"/>
      <c r="J95" s="389"/>
      <c r="K95" s="389"/>
      <c r="L95" s="389"/>
      <c r="M95" s="389"/>
      <c r="N95" s="5"/>
      <c r="Q95" s="5"/>
      <c r="R95" s="183"/>
    </row>
    <row r="96">
      <c r="D96" s="73"/>
      <c r="E96" s="285"/>
      <c r="F96" s="73"/>
      <c r="G96" s="286"/>
      <c r="H96" s="27"/>
      <c r="J96" s="389"/>
      <c r="K96" s="389"/>
      <c r="L96" s="389"/>
      <c r="M96" s="389"/>
      <c r="N96" s="5"/>
      <c r="Q96" s="5"/>
      <c r="R96" s="183"/>
    </row>
    <row r="97">
      <c r="D97" s="73"/>
      <c r="E97" s="285"/>
      <c r="F97" s="73"/>
      <c r="G97" s="286"/>
      <c r="H97" s="27"/>
      <c r="J97" s="389"/>
      <c r="K97" s="389"/>
      <c r="L97" s="389"/>
      <c r="M97" s="389"/>
      <c r="N97" s="5"/>
      <c r="Q97" s="5"/>
      <c r="R97" s="183"/>
    </row>
    <row r="98">
      <c r="D98" s="73"/>
      <c r="E98" s="285"/>
      <c r="F98" s="73"/>
      <c r="G98" s="286"/>
      <c r="H98" s="27"/>
      <c r="J98" s="389"/>
      <c r="K98" s="389"/>
      <c r="L98" s="389"/>
      <c r="M98" s="389"/>
      <c r="N98" s="5"/>
      <c r="Q98" s="5"/>
      <c r="R98" s="183"/>
    </row>
    <row r="99">
      <c r="D99" s="73"/>
      <c r="E99" s="285"/>
      <c r="F99" s="73"/>
      <c r="G99" s="286"/>
      <c r="H99" s="27"/>
      <c r="J99" s="389"/>
      <c r="K99" s="389"/>
      <c r="L99" s="389"/>
      <c r="M99" s="389"/>
      <c r="N99" s="5"/>
      <c r="Q99" s="5"/>
      <c r="R99" s="183"/>
    </row>
    <row r="100">
      <c r="D100" s="73"/>
      <c r="E100" s="285"/>
      <c r="F100" s="73"/>
      <c r="G100" s="286"/>
      <c r="H100" s="27"/>
      <c r="J100" s="389"/>
      <c r="K100" s="389"/>
      <c r="L100" s="389"/>
      <c r="M100" s="389"/>
      <c r="N100" s="5"/>
      <c r="Q100" s="5"/>
      <c r="R100" s="183"/>
    </row>
    <row r="101">
      <c r="D101" s="73"/>
      <c r="E101" s="285"/>
      <c r="F101" s="73"/>
      <c r="G101" s="286"/>
      <c r="H101" s="27"/>
      <c r="J101" s="389"/>
      <c r="K101" s="389"/>
      <c r="L101" s="389"/>
      <c r="M101" s="389"/>
      <c r="N101" s="5"/>
      <c r="Q101" s="5"/>
      <c r="R101" s="183"/>
    </row>
    <row r="102">
      <c r="D102" s="73"/>
      <c r="E102" s="285"/>
      <c r="F102" s="73"/>
      <c r="G102" s="286"/>
      <c r="H102" s="27"/>
      <c r="J102" s="389"/>
      <c r="K102" s="389"/>
      <c r="L102" s="389"/>
      <c r="M102" s="389"/>
      <c r="N102" s="5"/>
      <c r="Q102" s="5"/>
      <c r="R102" s="183"/>
    </row>
    <row r="103">
      <c r="D103" s="73"/>
      <c r="E103" s="285"/>
      <c r="F103" s="73"/>
      <c r="G103" s="286"/>
      <c r="H103" s="27"/>
      <c r="J103" s="389"/>
      <c r="K103" s="389"/>
      <c r="L103" s="389"/>
      <c r="M103" s="389"/>
      <c r="N103" s="5"/>
      <c r="Q103" s="5"/>
      <c r="R103" s="183"/>
    </row>
    <row r="104">
      <c r="D104" s="73"/>
      <c r="E104" s="285"/>
      <c r="F104" s="73"/>
      <c r="G104" s="286"/>
      <c r="H104" s="27"/>
      <c r="J104" s="389"/>
      <c r="K104" s="389"/>
      <c r="L104" s="389"/>
      <c r="M104" s="389"/>
      <c r="N104" s="5"/>
      <c r="Q104" s="5"/>
      <c r="R104" s="183"/>
    </row>
    <row r="105">
      <c r="D105" s="73"/>
      <c r="E105" s="285"/>
      <c r="F105" s="73"/>
      <c r="G105" s="286"/>
      <c r="H105" s="27"/>
      <c r="J105" s="389"/>
      <c r="K105" s="389"/>
      <c r="L105" s="389"/>
      <c r="M105" s="389"/>
      <c r="N105" s="5"/>
      <c r="Q105" s="5"/>
      <c r="R105" s="183"/>
    </row>
    <row r="106">
      <c r="D106" s="73"/>
      <c r="E106" s="285"/>
      <c r="F106" s="73"/>
      <c r="G106" s="286"/>
      <c r="H106" s="27"/>
      <c r="J106" s="389"/>
      <c r="K106" s="389"/>
      <c r="L106" s="389"/>
      <c r="M106" s="389"/>
      <c r="N106" s="5"/>
      <c r="Q106" s="5"/>
      <c r="R106" s="183"/>
    </row>
    <row r="107">
      <c r="D107" s="73"/>
      <c r="E107" s="285"/>
      <c r="F107" s="73"/>
      <c r="G107" s="286"/>
      <c r="H107" s="27"/>
      <c r="J107" s="389"/>
      <c r="K107" s="389"/>
      <c r="L107" s="389"/>
      <c r="M107" s="389"/>
      <c r="N107" s="5"/>
      <c r="Q107" s="5"/>
      <c r="R107" s="183"/>
    </row>
    <row r="108">
      <c r="D108" s="73"/>
      <c r="E108" s="285"/>
      <c r="F108" s="73"/>
      <c r="G108" s="286"/>
      <c r="H108" s="27"/>
      <c r="J108" s="389"/>
      <c r="K108" s="389"/>
      <c r="L108" s="389"/>
      <c r="M108" s="389"/>
      <c r="N108" s="5"/>
      <c r="Q108" s="5"/>
      <c r="R108" s="183"/>
    </row>
    <row r="109">
      <c r="D109" s="73"/>
      <c r="E109" s="285"/>
      <c r="F109" s="73"/>
      <c r="G109" s="286"/>
      <c r="H109" s="27"/>
      <c r="J109" s="389"/>
      <c r="K109" s="389"/>
      <c r="L109" s="389"/>
      <c r="M109" s="389"/>
      <c r="N109" s="5"/>
      <c r="Q109" s="5"/>
      <c r="R109" s="183"/>
    </row>
    <row r="110">
      <c r="D110" s="73"/>
      <c r="E110" s="285"/>
      <c r="F110" s="73"/>
      <c r="G110" s="286"/>
      <c r="H110" s="27"/>
      <c r="J110" s="389"/>
      <c r="K110" s="389"/>
      <c r="L110" s="389"/>
      <c r="M110" s="389"/>
      <c r="N110" s="5"/>
      <c r="Q110" s="5"/>
      <c r="R110" s="183"/>
    </row>
    <row r="111">
      <c r="D111" s="73"/>
      <c r="E111" s="285"/>
      <c r="F111" s="73"/>
      <c r="G111" s="286"/>
      <c r="H111" s="27"/>
      <c r="J111" s="389"/>
      <c r="K111" s="389"/>
      <c r="L111" s="389"/>
      <c r="M111" s="389"/>
      <c r="N111" s="5"/>
      <c r="Q111" s="5"/>
      <c r="R111" s="183"/>
    </row>
    <row r="112">
      <c r="D112" s="73"/>
      <c r="E112" s="285"/>
      <c r="F112" s="73"/>
      <c r="G112" s="286"/>
      <c r="H112" s="27"/>
      <c r="J112" s="389"/>
      <c r="K112" s="389"/>
      <c r="L112" s="389"/>
      <c r="M112" s="389"/>
      <c r="N112" s="5"/>
      <c r="Q112" s="5"/>
      <c r="R112" s="183"/>
    </row>
    <row r="113">
      <c r="D113" s="73"/>
      <c r="E113" s="285"/>
      <c r="F113" s="73"/>
      <c r="G113" s="286"/>
      <c r="H113" s="27"/>
      <c r="J113" s="389"/>
      <c r="K113" s="389"/>
      <c r="L113" s="389"/>
      <c r="M113" s="389"/>
      <c r="N113" s="5"/>
      <c r="Q113" s="5"/>
      <c r="R113" s="183"/>
    </row>
    <row r="114">
      <c r="D114" s="73"/>
      <c r="E114" s="285"/>
      <c r="F114" s="73"/>
      <c r="G114" s="286"/>
      <c r="H114" s="27"/>
      <c r="J114" s="389"/>
      <c r="K114" s="389"/>
      <c r="L114" s="389"/>
      <c r="M114" s="389"/>
      <c r="N114" s="5"/>
      <c r="Q114" s="5"/>
      <c r="R114" s="183"/>
    </row>
    <row r="115">
      <c r="D115" s="73"/>
      <c r="E115" s="285"/>
      <c r="F115" s="73"/>
      <c r="G115" s="286"/>
      <c r="H115" s="27"/>
      <c r="J115" s="389"/>
      <c r="K115" s="389"/>
      <c r="L115" s="389"/>
      <c r="M115" s="389"/>
      <c r="N115" s="5"/>
      <c r="Q115" s="5"/>
      <c r="R115" s="183"/>
    </row>
    <row r="116">
      <c r="D116" s="73"/>
      <c r="E116" s="285"/>
      <c r="F116" s="73"/>
      <c r="G116" s="286"/>
      <c r="H116" s="27"/>
      <c r="J116" s="389"/>
      <c r="K116" s="389"/>
      <c r="L116" s="389"/>
      <c r="M116" s="389"/>
      <c r="N116" s="5"/>
      <c r="Q116" s="5"/>
      <c r="R116" s="183"/>
    </row>
    <row r="117">
      <c r="D117" s="73"/>
      <c r="E117" s="285"/>
      <c r="F117" s="73"/>
      <c r="G117" s="286"/>
      <c r="H117" s="27"/>
      <c r="J117" s="389"/>
      <c r="K117" s="389"/>
      <c r="L117" s="389"/>
      <c r="M117" s="389"/>
      <c r="N117" s="5"/>
      <c r="Q117" s="5"/>
      <c r="R117" s="183"/>
    </row>
    <row r="118">
      <c r="D118" s="73"/>
      <c r="E118" s="285"/>
      <c r="F118" s="73"/>
      <c r="G118" s="286"/>
      <c r="H118" s="27"/>
      <c r="J118" s="389"/>
      <c r="K118" s="389"/>
      <c r="L118" s="389"/>
      <c r="M118" s="389"/>
      <c r="N118" s="5"/>
      <c r="Q118" s="5"/>
      <c r="R118" s="183"/>
    </row>
    <row r="119">
      <c r="D119" s="73"/>
      <c r="E119" s="285"/>
      <c r="F119" s="73"/>
      <c r="G119" s="286"/>
      <c r="H119" s="27"/>
      <c r="J119" s="389"/>
      <c r="K119" s="389"/>
      <c r="L119" s="389"/>
      <c r="M119" s="389"/>
      <c r="N119" s="5"/>
      <c r="Q119" s="5"/>
      <c r="R119" s="183"/>
    </row>
    <row r="120">
      <c r="D120" s="73"/>
      <c r="E120" s="285"/>
      <c r="F120" s="73"/>
      <c r="G120" s="286"/>
      <c r="H120" s="27"/>
      <c r="J120" s="389"/>
      <c r="K120" s="389"/>
      <c r="L120" s="389"/>
      <c r="M120" s="389"/>
      <c r="N120" s="5"/>
      <c r="Q120" s="5"/>
      <c r="R120" s="183"/>
    </row>
    <row r="121">
      <c r="D121" s="73"/>
      <c r="E121" s="285"/>
      <c r="F121" s="73"/>
      <c r="G121" s="286"/>
      <c r="H121" s="27"/>
      <c r="J121" s="389"/>
      <c r="K121" s="389"/>
      <c r="L121" s="389"/>
      <c r="M121" s="389"/>
      <c r="N121" s="5"/>
      <c r="Q121" s="5"/>
      <c r="R121" s="183"/>
    </row>
    <row r="122">
      <c r="D122" s="73"/>
      <c r="E122" s="285"/>
      <c r="F122" s="73"/>
      <c r="G122" s="286"/>
      <c r="H122" s="27"/>
      <c r="J122" s="389"/>
      <c r="K122" s="389"/>
      <c r="L122" s="389"/>
      <c r="M122" s="389"/>
      <c r="N122" s="5"/>
      <c r="Q122" s="5"/>
      <c r="R122" s="183"/>
    </row>
    <row r="123">
      <c r="D123" s="73"/>
      <c r="E123" s="285"/>
      <c r="F123" s="73"/>
      <c r="G123" s="286"/>
      <c r="H123" s="27"/>
      <c r="J123" s="389"/>
      <c r="K123" s="389"/>
      <c r="L123" s="389"/>
      <c r="M123" s="389"/>
      <c r="N123" s="5"/>
      <c r="Q123" s="5"/>
      <c r="R123" s="183"/>
    </row>
    <row r="124">
      <c r="D124" s="73"/>
      <c r="E124" s="285"/>
      <c r="F124" s="73"/>
      <c r="G124" s="286"/>
      <c r="H124" s="27"/>
      <c r="J124" s="389"/>
      <c r="K124" s="389"/>
      <c r="L124" s="389"/>
      <c r="M124" s="389"/>
      <c r="N124" s="5"/>
      <c r="Q124" s="5"/>
      <c r="R124" s="183"/>
    </row>
    <row r="125">
      <c r="D125" s="73"/>
      <c r="E125" s="285"/>
      <c r="F125" s="73"/>
      <c r="G125" s="286"/>
      <c r="H125" s="27"/>
      <c r="J125" s="389"/>
      <c r="K125" s="389"/>
      <c r="L125" s="389"/>
      <c r="M125" s="389"/>
      <c r="N125" s="5"/>
      <c r="Q125" s="5"/>
      <c r="R125" s="183"/>
    </row>
    <row r="126">
      <c r="D126" s="73"/>
      <c r="E126" s="285"/>
      <c r="F126" s="73"/>
      <c r="G126" s="286"/>
      <c r="H126" s="27"/>
      <c r="J126" s="389"/>
      <c r="K126" s="389"/>
      <c r="L126" s="389"/>
      <c r="M126" s="389"/>
      <c r="N126" s="5"/>
      <c r="Q126" s="5"/>
      <c r="R126" s="183"/>
    </row>
    <row r="127">
      <c r="D127" s="73"/>
      <c r="E127" s="285"/>
      <c r="F127" s="73"/>
      <c r="G127" s="286"/>
      <c r="H127" s="27"/>
      <c r="J127" s="389"/>
      <c r="K127" s="389"/>
      <c r="L127" s="389"/>
      <c r="M127" s="389"/>
      <c r="N127" s="5"/>
      <c r="Q127" s="5"/>
      <c r="R127" s="183"/>
    </row>
    <row r="128">
      <c r="D128" s="73"/>
      <c r="E128" s="285"/>
      <c r="F128" s="73"/>
      <c r="G128" s="286"/>
      <c r="H128" s="27"/>
      <c r="J128" s="389"/>
      <c r="K128" s="389"/>
      <c r="L128" s="389"/>
      <c r="M128" s="389"/>
      <c r="N128" s="5"/>
      <c r="Q128" s="5"/>
      <c r="R128" s="183"/>
    </row>
    <row r="129">
      <c r="D129" s="73"/>
      <c r="E129" s="285"/>
      <c r="F129" s="73"/>
      <c r="G129" s="286"/>
      <c r="H129" s="27"/>
      <c r="J129" s="389"/>
      <c r="K129" s="389"/>
      <c r="L129" s="389"/>
      <c r="M129" s="389"/>
      <c r="N129" s="5"/>
      <c r="Q129" s="5"/>
      <c r="R129" s="183"/>
    </row>
    <row r="130">
      <c r="D130" s="73"/>
      <c r="E130" s="285"/>
      <c r="F130" s="73"/>
      <c r="G130" s="286"/>
      <c r="H130" s="27"/>
      <c r="J130" s="389"/>
      <c r="K130" s="389"/>
      <c r="L130" s="389"/>
      <c r="M130" s="389"/>
      <c r="N130" s="5"/>
      <c r="Q130" s="5"/>
      <c r="R130" s="183"/>
    </row>
    <row r="131">
      <c r="D131" s="73"/>
      <c r="E131" s="285"/>
      <c r="F131" s="73"/>
      <c r="G131" s="286"/>
      <c r="H131" s="27"/>
      <c r="J131" s="389"/>
      <c r="K131" s="389"/>
      <c r="L131" s="389"/>
      <c r="M131" s="389"/>
      <c r="N131" s="5"/>
      <c r="Q131" s="5"/>
      <c r="R131" s="183"/>
    </row>
    <row r="132">
      <c r="D132" s="73"/>
      <c r="E132" s="285"/>
      <c r="F132" s="73"/>
      <c r="G132" s="286"/>
      <c r="H132" s="27"/>
      <c r="J132" s="389"/>
      <c r="K132" s="389"/>
      <c r="L132" s="389"/>
      <c r="M132" s="389"/>
      <c r="N132" s="5"/>
      <c r="Q132" s="5"/>
      <c r="R132" s="183"/>
    </row>
    <row r="133">
      <c r="D133" s="73"/>
      <c r="E133" s="285"/>
      <c r="F133" s="73"/>
      <c r="G133" s="286"/>
      <c r="H133" s="27"/>
      <c r="J133" s="389"/>
      <c r="K133" s="389"/>
      <c r="L133" s="389"/>
      <c r="M133" s="389"/>
      <c r="N133" s="5"/>
      <c r="Q133" s="5"/>
      <c r="R133" s="183"/>
    </row>
    <row r="134">
      <c r="D134" s="73"/>
      <c r="E134" s="285"/>
      <c r="F134" s="73"/>
      <c r="G134" s="286"/>
      <c r="H134" s="27"/>
      <c r="J134" s="389"/>
      <c r="K134" s="389"/>
      <c r="L134" s="389"/>
      <c r="M134" s="389"/>
      <c r="N134" s="5"/>
      <c r="Q134" s="5"/>
      <c r="R134" s="183"/>
    </row>
    <row r="135">
      <c r="D135" s="73"/>
      <c r="E135" s="285"/>
      <c r="F135" s="73"/>
      <c r="G135" s="286"/>
      <c r="H135" s="27"/>
      <c r="J135" s="389"/>
      <c r="K135" s="389"/>
      <c r="L135" s="389"/>
      <c r="M135" s="389"/>
      <c r="N135" s="5"/>
      <c r="Q135" s="5"/>
      <c r="R135" s="183"/>
    </row>
    <row r="136">
      <c r="D136" s="73"/>
      <c r="E136" s="285"/>
      <c r="F136" s="73"/>
      <c r="G136" s="286"/>
      <c r="H136" s="27"/>
      <c r="J136" s="389"/>
      <c r="K136" s="389"/>
      <c r="L136" s="389"/>
      <c r="M136" s="389"/>
      <c r="N136" s="5"/>
      <c r="Q136" s="5"/>
      <c r="R136" s="183"/>
    </row>
    <row r="137">
      <c r="D137" s="73"/>
      <c r="E137" s="285"/>
      <c r="F137" s="73"/>
      <c r="G137" s="286"/>
      <c r="H137" s="27"/>
      <c r="J137" s="389"/>
      <c r="K137" s="389"/>
      <c r="L137" s="389"/>
      <c r="M137" s="389"/>
      <c r="N137" s="5"/>
      <c r="Q137" s="5"/>
      <c r="R137" s="183"/>
    </row>
    <row r="138">
      <c r="D138" s="73"/>
      <c r="E138" s="285"/>
      <c r="F138" s="73"/>
      <c r="G138" s="286"/>
      <c r="H138" s="27"/>
      <c r="J138" s="389"/>
      <c r="K138" s="389"/>
      <c r="L138" s="389"/>
      <c r="M138" s="389"/>
      <c r="N138" s="5"/>
      <c r="Q138" s="5"/>
      <c r="R138" s="183"/>
    </row>
    <row r="139">
      <c r="D139" s="73"/>
      <c r="E139" s="285"/>
      <c r="F139" s="73"/>
      <c r="G139" s="286"/>
      <c r="H139" s="27"/>
      <c r="J139" s="389"/>
      <c r="K139" s="389"/>
      <c r="L139" s="389"/>
      <c r="M139" s="389"/>
      <c r="N139" s="5"/>
      <c r="Q139" s="5"/>
      <c r="R139" s="183"/>
    </row>
    <row r="140">
      <c r="D140" s="73"/>
      <c r="E140" s="285"/>
      <c r="F140" s="73"/>
      <c r="G140" s="286"/>
      <c r="H140" s="27"/>
      <c r="J140" s="389"/>
      <c r="K140" s="389"/>
      <c r="L140" s="389"/>
      <c r="M140" s="389"/>
      <c r="N140" s="5"/>
      <c r="Q140" s="5"/>
      <c r="R140" s="183"/>
    </row>
    <row r="141">
      <c r="D141" s="73"/>
      <c r="E141" s="285"/>
      <c r="F141" s="73"/>
      <c r="G141" s="286"/>
      <c r="H141" s="27"/>
      <c r="J141" s="389"/>
      <c r="K141" s="389"/>
      <c r="L141" s="389"/>
      <c r="M141" s="389"/>
      <c r="N141" s="5"/>
      <c r="Q141" s="5"/>
      <c r="R141" s="183"/>
    </row>
    <row r="142">
      <c r="D142" s="73"/>
      <c r="E142" s="285"/>
      <c r="F142" s="73"/>
      <c r="G142" s="286"/>
      <c r="H142" s="27"/>
      <c r="J142" s="389"/>
      <c r="K142" s="389"/>
      <c r="L142" s="389"/>
      <c r="M142" s="389"/>
      <c r="N142" s="5"/>
      <c r="Q142" s="5"/>
      <c r="R142" s="183"/>
    </row>
    <row r="143">
      <c r="D143" s="73"/>
      <c r="E143" s="285"/>
      <c r="F143" s="73"/>
      <c r="G143" s="286"/>
      <c r="H143" s="27"/>
      <c r="J143" s="389"/>
      <c r="K143" s="389"/>
      <c r="L143" s="389"/>
      <c r="M143" s="389"/>
      <c r="N143" s="5"/>
      <c r="Q143" s="5"/>
      <c r="R143" s="183"/>
    </row>
    <row r="144">
      <c r="D144" s="73"/>
      <c r="E144" s="285"/>
      <c r="F144" s="73"/>
      <c r="G144" s="286"/>
      <c r="H144" s="27"/>
      <c r="J144" s="389"/>
      <c r="K144" s="389"/>
      <c r="L144" s="389"/>
      <c r="M144" s="389"/>
      <c r="N144" s="5"/>
      <c r="Q144" s="5"/>
      <c r="R144" s="183"/>
    </row>
    <row r="145">
      <c r="D145" s="73"/>
      <c r="E145" s="285"/>
      <c r="F145" s="73"/>
      <c r="G145" s="286"/>
      <c r="H145" s="27"/>
      <c r="J145" s="389"/>
      <c r="K145" s="389"/>
      <c r="L145" s="389"/>
      <c r="M145" s="389"/>
      <c r="N145" s="5"/>
      <c r="Q145" s="5"/>
      <c r="R145" s="183"/>
    </row>
    <row r="146">
      <c r="D146" s="73"/>
      <c r="E146" s="285"/>
      <c r="F146" s="73"/>
      <c r="G146" s="286"/>
      <c r="H146" s="27"/>
      <c r="J146" s="389"/>
      <c r="K146" s="389"/>
      <c r="L146" s="389"/>
      <c r="M146" s="389"/>
      <c r="N146" s="5"/>
      <c r="Q146" s="5"/>
      <c r="R146" s="183"/>
    </row>
    <row r="147">
      <c r="D147" s="73"/>
      <c r="E147" s="285"/>
      <c r="F147" s="73"/>
      <c r="G147" s="286"/>
      <c r="H147" s="27"/>
      <c r="J147" s="389"/>
      <c r="K147" s="389"/>
      <c r="L147" s="389"/>
      <c r="M147" s="389"/>
      <c r="N147" s="5"/>
      <c r="Q147" s="5"/>
      <c r="R147" s="183"/>
    </row>
    <row r="148">
      <c r="D148" s="73"/>
      <c r="E148" s="285"/>
      <c r="F148" s="73"/>
      <c r="G148" s="286"/>
      <c r="H148" s="27"/>
      <c r="J148" s="389"/>
      <c r="K148" s="389"/>
      <c r="L148" s="389"/>
      <c r="M148" s="389"/>
      <c r="N148" s="5"/>
      <c r="Q148" s="5"/>
      <c r="R148" s="183"/>
    </row>
    <row r="149">
      <c r="D149" s="73"/>
      <c r="E149" s="285"/>
      <c r="F149" s="73"/>
      <c r="G149" s="286"/>
      <c r="H149" s="27"/>
      <c r="J149" s="389"/>
      <c r="K149" s="389"/>
      <c r="L149" s="389"/>
      <c r="M149" s="389"/>
      <c r="N149" s="5"/>
      <c r="Q149" s="5"/>
      <c r="R149" s="183"/>
    </row>
    <row r="150">
      <c r="D150" s="73"/>
      <c r="E150" s="285"/>
      <c r="F150" s="73"/>
      <c r="G150" s="286"/>
      <c r="H150" s="27"/>
      <c r="J150" s="389"/>
      <c r="K150" s="389"/>
      <c r="L150" s="389"/>
      <c r="M150" s="389"/>
      <c r="N150" s="5"/>
      <c r="Q150" s="5"/>
      <c r="R150" s="183"/>
    </row>
    <row r="151">
      <c r="D151" s="73"/>
      <c r="E151" s="285"/>
      <c r="F151" s="73"/>
      <c r="G151" s="286"/>
      <c r="H151" s="27"/>
      <c r="J151" s="389"/>
      <c r="K151" s="389"/>
      <c r="L151" s="389"/>
      <c r="M151" s="389"/>
      <c r="N151" s="5"/>
      <c r="Q151" s="5"/>
      <c r="R151" s="183"/>
    </row>
    <row r="152">
      <c r="D152" s="73"/>
      <c r="E152" s="285"/>
      <c r="F152" s="73"/>
      <c r="G152" s="286"/>
      <c r="H152" s="27"/>
      <c r="J152" s="389"/>
      <c r="K152" s="389"/>
      <c r="L152" s="389"/>
      <c r="M152" s="389"/>
      <c r="N152" s="5"/>
      <c r="Q152" s="5"/>
      <c r="R152" s="183"/>
    </row>
    <row r="153">
      <c r="D153" s="73"/>
      <c r="E153" s="285"/>
      <c r="F153" s="73"/>
      <c r="G153" s="286"/>
      <c r="H153" s="27"/>
      <c r="J153" s="389"/>
      <c r="K153" s="389"/>
      <c r="L153" s="389"/>
      <c r="M153" s="389"/>
      <c r="N153" s="5"/>
      <c r="Q153" s="5"/>
      <c r="R153" s="183"/>
    </row>
    <row r="154">
      <c r="D154" s="73"/>
      <c r="E154" s="285"/>
      <c r="F154" s="73"/>
      <c r="G154" s="286"/>
      <c r="H154" s="27"/>
      <c r="J154" s="389"/>
      <c r="K154" s="389"/>
      <c r="L154" s="389"/>
      <c r="M154" s="389"/>
      <c r="N154" s="5"/>
      <c r="Q154" s="5"/>
      <c r="R154" s="183"/>
    </row>
    <row r="155">
      <c r="D155" s="73"/>
      <c r="E155" s="285"/>
      <c r="F155" s="73"/>
      <c r="G155" s="286"/>
      <c r="H155" s="27"/>
      <c r="J155" s="389"/>
      <c r="K155" s="389"/>
      <c r="L155" s="389"/>
      <c r="M155" s="389"/>
      <c r="N155" s="5"/>
      <c r="Q155" s="5"/>
      <c r="R155" s="183"/>
    </row>
    <row r="156">
      <c r="D156" s="73"/>
      <c r="E156" s="285"/>
      <c r="F156" s="73"/>
      <c r="G156" s="286"/>
      <c r="H156" s="27"/>
      <c r="J156" s="389"/>
      <c r="K156" s="389"/>
      <c r="L156" s="389"/>
      <c r="M156" s="389"/>
      <c r="N156" s="5"/>
      <c r="Q156" s="5"/>
      <c r="R156" s="183"/>
    </row>
    <row r="157">
      <c r="D157" s="73"/>
      <c r="E157" s="285"/>
      <c r="F157" s="73"/>
      <c r="G157" s="286"/>
      <c r="H157" s="27"/>
      <c r="J157" s="389"/>
      <c r="K157" s="389"/>
      <c r="L157" s="389"/>
      <c r="M157" s="389"/>
      <c r="N157" s="5"/>
      <c r="Q157" s="5"/>
      <c r="R157" s="183"/>
    </row>
    <row r="158">
      <c r="D158" s="73"/>
      <c r="E158" s="285"/>
      <c r="F158" s="73"/>
      <c r="G158" s="286"/>
      <c r="H158" s="27"/>
      <c r="J158" s="389"/>
      <c r="K158" s="389"/>
      <c r="L158" s="389"/>
      <c r="M158" s="389"/>
      <c r="N158" s="5"/>
      <c r="Q158" s="5"/>
      <c r="R158" s="183"/>
    </row>
    <row r="159">
      <c r="D159" s="73"/>
      <c r="E159" s="285"/>
      <c r="F159" s="73"/>
      <c r="G159" s="286"/>
      <c r="H159" s="27"/>
      <c r="J159" s="389"/>
      <c r="K159" s="389"/>
      <c r="L159" s="389"/>
      <c r="M159" s="389"/>
      <c r="N159" s="5"/>
      <c r="Q159" s="5"/>
      <c r="R159" s="183"/>
    </row>
    <row r="160">
      <c r="D160" s="73"/>
      <c r="E160" s="285"/>
      <c r="F160" s="73"/>
      <c r="G160" s="286"/>
      <c r="H160" s="27"/>
      <c r="J160" s="389"/>
      <c r="K160" s="389"/>
      <c r="L160" s="389"/>
      <c r="M160" s="389"/>
      <c r="N160" s="5"/>
      <c r="Q160" s="5"/>
      <c r="R160" s="183"/>
    </row>
    <row r="161">
      <c r="D161" s="73"/>
      <c r="E161" s="285"/>
      <c r="F161" s="73"/>
      <c r="G161" s="286"/>
      <c r="H161" s="27"/>
      <c r="J161" s="389"/>
      <c r="N161" s="5"/>
      <c r="Q161" s="5"/>
      <c r="R161" s="183"/>
    </row>
    <row r="162">
      <c r="D162" s="73"/>
      <c r="E162" s="285"/>
      <c r="F162" s="73"/>
      <c r="G162" s="286"/>
      <c r="H162" s="27"/>
      <c r="J162" s="389"/>
      <c r="Q162" s="5"/>
      <c r="R162" s="183"/>
    </row>
    <row r="163">
      <c r="D163" s="73"/>
      <c r="E163" s="285"/>
      <c r="F163" s="73"/>
      <c r="G163" s="286"/>
      <c r="H163" s="27"/>
      <c r="J163" s="389"/>
      <c r="Q163" s="5"/>
      <c r="R163" s="183"/>
    </row>
    <row r="164">
      <c r="D164" s="73"/>
      <c r="E164" s="285"/>
      <c r="F164" s="73"/>
      <c r="G164" s="286"/>
      <c r="H164" s="27"/>
      <c r="J164" s="389"/>
      <c r="Q164" s="5"/>
      <c r="R164" s="183"/>
    </row>
    <row r="165">
      <c r="D165" s="73"/>
      <c r="E165" s="285"/>
      <c r="F165" s="73"/>
      <c r="G165" s="286"/>
      <c r="H165" s="27"/>
      <c r="J165" s="389"/>
      <c r="Q165" s="5"/>
      <c r="R165" s="183"/>
    </row>
    <row r="166">
      <c r="D166" s="73"/>
      <c r="E166" s="285"/>
      <c r="F166" s="73"/>
      <c r="G166" s="286"/>
      <c r="H166" s="27"/>
      <c r="J166" s="389"/>
      <c r="Q166" s="5"/>
      <c r="R166" s="183"/>
    </row>
    <row r="167">
      <c r="D167" s="73"/>
      <c r="E167" s="285"/>
      <c r="F167" s="73"/>
      <c r="G167" s="286"/>
      <c r="H167" s="27"/>
      <c r="J167" s="389"/>
      <c r="Q167" s="5"/>
      <c r="R167" s="183"/>
    </row>
    <row r="168">
      <c r="D168" s="73"/>
      <c r="E168" s="285"/>
      <c r="F168" s="73"/>
      <c r="G168" s="286"/>
      <c r="H168" s="27"/>
      <c r="J168" s="389"/>
      <c r="Q168" s="5"/>
      <c r="R168" s="183"/>
    </row>
    <row r="169">
      <c r="D169" s="73"/>
      <c r="E169" s="285"/>
      <c r="F169" s="73"/>
      <c r="G169" s="286"/>
      <c r="H169" s="27"/>
      <c r="J169" s="389"/>
      <c r="Q169" s="5"/>
      <c r="R169" s="183"/>
    </row>
    <row r="170">
      <c r="D170" s="73"/>
      <c r="E170" s="285"/>
      <c r="F170" s="73"/>
      <c r="G170" s="286"/>
      <c r="H170" s="27"/>
      <c r="J170" s="389"/>
      <c r="Q170" s="5"/>
      <c r="R170" s="183"/>
    </row>
    <row r="171">
      <c r="D171" s="73"/>
      <c r="E171" s="285"/>
      <c r="F171" s="73"/>
      <c r="G171" s="286"/>
      <c r="H171" s="27"/>
      <c r="J171" s="389"/>
      <c r="Q171" s="5"/>
      <c r="R171" s="183"/>
    </row>
    <row r="172">
      <c r="D172" s="73"/>
      <c r="E172" s="285"/>
      <c r="F172" s="73"/>
      <c r="G172" s="286"/>
      <c r="H172" s="27"/>
      <c r="J172" s="389"/>
      <c r="Q172" s="5"/>
      <c r="R172" s="183"/>
    </row>
    <row r="173">
      <c r="D173" s="73"/>
      <c r="E173" s="285"/>
      <c r="F173" s="73"/>
      <c r="G173" s="286"/>
      <c r="H173" s="27"/>
      <c r="J173" s="389"/>
      <c r="Q173" s="5"/>
      <c r="R173" s="183"/>
    </row>
    <row r="174">
      <c r="D174" s="73"/>
      <c r="E174" s="285"/>
      <c r="F174" s="73"/>
      <c r="G174" s="286"/>
      <c r="H174" s="27"/>
      <c r="J174" s="389"/>
      <c r="Q174" s="5"/>
      <c r="R174" s="183"/>
    </row>
    <row r="175">
      <c r="D175" s="73"/>
      <c r="E175" s="285"/>
      <c r="F175" s="73"/>
      <c r="G175" s="286"/>
      <c r="H175" s="27"/>
      <c r="J175" s="389"/>
      <c r="Q175" s="5"/>
      <c r="R175" s="183"/>
    </row>
    <row r="176">
      <c r="D176" s="73"/>
      <c r="E176" s="285"/>
      <c r="F176" s="73"/>
      <c r="G176" s="286"/>
      <c r="H176" s="27"/>
      <c r="J176" s="389"/>
      <c r="Q176" s="5"/>
      <c r="R176" s="183"/>
    </row>
    <row r="177">
      <c r="D177" s="73"/>
      <c r="E177" s="285"/>
      <c r="F177" s="73"/>
      <c r="G177" s="286"/>
      <c r="H177" s="27"/>
      <c r="J177" s="389"/>
      <c r="Q177" s="5"/>
      <c r="R177" s="183"/>
    </row>
    <row r="178">
      <c r="D178" s="73"/>
      <c r="E178" s="285"/>
      <c r="F178" s="73"/>
      <c r="G178" s="286"/>
      <c r="H178" s="27"/>
      <c r="J178" s="389"/>
      <c r="Q178" s="5"/>
      <c r="R178" s="183"/>
    </row>
    <row r="179">
      <c r="D179" s="73"/>
      <c r="E179" s="285"/>
      <c r="F179" s="73"/>
      <c r="G179" s="286"/>
      <c r="H179" s="27"/>
      <c r="J179" s="389"/>
      <c r="Q179" s="5"/>
      <c r="R179" s="183"/>
    </row>
    <row r="180">
      <c r="D180" s="73"/>
      <c r="E180" s="285"/>
      <c r="F180" s="73"/>
      <c r="G180" s="286"/>
      <c r="H180" s="27"/>
      <c r="J180" s="389"/>
      <c r="Q180" s="5"/>
      <c r="R180" s="183"/>
    </row>
    <row r="181">
      <c r="D181" s="73"/>
      <c r="E181" s="285"/>
      <c r="F181" s="73"/>
      <c r="G181" s="286"/>
      <c r="H181" s="27"/>
      <c r="J181" s="389"/>
      <c r="Q181" s="5"/>
      <c r="R181" s="183"/>
    </row>
    <row r="182">
      <c r="D182" s="73"/>
      <c r="E182" s="285"/>
      <c r="F182" s="73"/>
      <c r="G182" s="286"/>
      <c r="H182" s="27"/>
      <c r="J182" s="389"/>
      <c r="Q182" s="5"/>
      <c r="R182" s="183"/>
    </row>
    <row r="183">
      <c r="D183" s="73"/>
      <c r="E183" s="285"/>
      <c r="F183" s="73"/>
      <c r="G183" s="286"/>
      <c r="H183" s="27"/>
      <c r="J183" s="389"/>
      <c r="Q183" s="5"/>
      <c r="R183" s="183"/>
    </row>
    <row r="184">
      <c r="D184" s="73"/>
      <c r="E184" s="285"/>
      <c r="F184" s="73"/>
      <c r="G184" s="286"/>
      <c r="H184" s="27"/>
      <c r="J184" s="389"/>
      <c r="Q184" s="5"/>
      <c r="R184" s="183"/>
    </row>
    <row r="185">
      <c r="D185" s="73"/>
      <c r="E185" s="285"/>
      <c r="F185" s="73"/>
      <c r="G185" s="286"/>
      <c r="H185" s="27"/>
      <c r="J185" s="389"/>
      <c r="Q185" s="5"/>
      <c r="R185" s="183"/>
    </row>
    <row r="186">
      <c r="D186" s="73"/>
      <c r="E186" s="285"/>
      <c r="F186" s="73"/>
      <c r="G186" s="286"/>
      <c r="H186" s="27"/>
      <c r="J186" s="389"/>
      <c r="Q186" s="5"/>
      <c r="R186" s="183"/>
    </row>
    <row r="187">
      <c r="D187" s="73"/>
      <c r="E187" s="285"/>
      <c r="F187" s="73"/>
      <c r="G187" s="286"/>
      <c r="H187" s="27"/>
      <c r="J187" s="389"/>
      <c r="Q187" s="5"/>
      <c r="R187" s="183"/>
    </row>
    <row r="188">
      <c r="D188" s="73"/>
      <c r="E188" s="285"/>
      <c r="F188" s="73"/>
      <c r="G188" s="286"/>
      <c r="H188" s="27"/>
      <c r="J188" s="389"/>
      <c r="Q188" s="5"/>
      <c r="R188" s="183"/>
    </row>
    <row r="189">
      <c r="D189" s="73"/>
      <c r="E189" s="285"/>
      <c r="F189" s="73"/>
      <c r="G189" s="286"/>
      <c r="H189" s="27"/>
      <c r="J189" s="389"/>
      <c r="Q189" s="5"/>
      <c r="R189" s="183"/>
    </row>
    <row r="190">
      <c r="D190" s="73"/>
      <c r="E190" s="285"/>
      <c r="F190" s="73"/>
      <c r="G190" s="286"/>
      <c r="H190" s="27"/>
      <c r="J190" s="389"/>
      <c r="Q190" s="5"/>
      <c r="R190" s="183"/>
    </row>
    <row r="191">
      <c r="D191" s="73"/>
      <c r="E191" s="285"/>
      <c r="F191" s="73"/>
      <c r="G191" s="286"/>
      <c r="H191" s="27"/>
      <c r="J191" s="389"/>
      <c r="Q191" s="5"/>
      <c r="R191" s="183"/>
    </row>
    <row r="192">
      <c r="D192" s="73"/>
      <c r="E192" s="285"/>
      <c r="F192" s="73"/>
      <c r="G192" s="286"/>
      <c r="H192" s="27"/>
      <c r="J192" s="389"/>
      <c r="Q192" s="5"/>
      <c r="R192" s="183"/>
    </row>
    <row r="193">
      <c r="D193" s="73"/>
      <c r="E193" s="285"/>
      <c r="F193" s="73"/>
      <c r="G193" s="286"/>
      <c r="H193" s="27"/>
      <c r="J193" s="389"/>
      <c r="Q193" s="5"/>
      <c r="R193" s="183"/>
    </row>
    <row r="194">
      <c r="D194" s="73"/>
      <c r="E194" s="285"/>
      <c r="F194" s="73"/>
      <c r="G194" s="286"/>
      <c r="H194" s="27"/>
      <c r="J194" s="389"/>
      <c r="Q194" s="5"/>
      <c r="R194" s="183"/>
    </row>
    <row r="195">
      <c r="D195" s="73"/>
      <c r="E195" s="285"/>
      <c r="F195" s="73"/>
      <c r="G195" s="286"/>
      <c r="H195" s="27"/>
      <c r="J195" s="389"/>
      <c r="Q195" s="5"/>
      <c r="R195" s="183"/>
    </row>
    <row r="196">
      <c r="D196" s="73"/>
      <c r="E196" s="285"/>
      <c r="F196" s="73"/>
      <c r="G196" s="286"/>
      <c r="H196" s="27"/>
      <c r="J196" s="389"/>
      <c r="Q196" s="5"/>
      <c r="R196" s="183"/>
    </row>
    <row r="197">
      <c r="D197" s="73"/>
      <c r="E197" s="285"/>
      <c r="F197" s="73"/>
      <c r="G197" s="286"/>
      <c r="H197" s="27"/>
      <c r="J197" s="389"/>
      <c r="Q197" s="5"/>
      <c r="R197" s="183"/>
    </row>
    <row r="198">
      <c r="D198" s="73"/>
      <c r="E198" s="285"/>
      <c r="F198" s="73"/>
      <c r="G198" s="286"/>
      <c r="H198" s="27"/>
      <c r="J198" s="389"/>
      <c r="Q198" s="5"/>
      <c r="R198" s="183"/>
    </row>
    <row r="199">
      <c r="D199" s="73"/>
      <c r="E199" s="285"/>
      <c r="F199" s="73"/>
      <c r="G199" s="286"/>
      <c r="H199" s="27"/>
      <c r="J199" s="389"/>
      <c r="Q199" s="5"/>
      <c r="R199" s="183"/>
    </row>
    <row r="200">
      <c r="D200" s="73"/>
      <c r="E200" s="285"/>
      <c r="F200" s="73"/>
      <c r="G200" s="286"/>
      <c r="H200" s="27"/>
      <c r="J200" s="389"/>
      <c r="Q200" s="5"/>
      <c r="R200" s="183"/>
    </row>
    <row r="201">
      <c r="D201" s="73"/>
      <c r="E201" s="285"/>
      <c r="F201" s="73"/>
      <c r="G201" s="286"/>
      <c r="H201" s="27"/>
      <c r="J201" s="389"/>
      <c r="Q201" s="5"/>
      <c r="R201" s="183"/>
    </row>
    <row r="202">
      <c r="D202" s="73"/>
      <c r="E202" s="285"/>
      <c r="F202" s="73"/>
      <c r="G202" s="286"/>
      <c r="H202" s="27"/>
      <c r="J202" s="389"/>
      <c r="Q202" s="5"/>
      <c r="R202" s="183"/>
    </row>
    <row r="203">
      <c r="D203" s="73"/>
      <c r="E203" s="285"/>
      <c r="F203" s="73"/>
      <c r="G203" s="286"/>
      <c r="H203" s="27"/>
      <c r="J203" s="389"/>
      <c r="Q203" s="5"/>
      <c r="R203" s="183"/>
    </row>
    <row r="204">
      <c r="D204" s="73"/>
      <c r="E204" s="285"/>
      <c r="F204" s="73"/>
      <c r="G204" s="286"/>
      <c r="H204" s="27"/>
      <c r="J204" s="389"/>
      <c r="Q204" s="5"/>
      <c r="R204" s="183"/>
    </row>
    <row r="205">
      <c r="D205" s="73"/>
      <c r="E205" s="285"/>
      <c r="F205" s="73"/>
      <c r="G205" s="286"/>
      <c r="H205" s="27"/>
      <c r="J205" s="389"/>
      <c r="Q205" s="5"/>
      <c r="R205" s="183"/>
    </row>
    <row r="206">
      <c r="D206" s="73"/>
      <c r="E206" s="285"/>
      <c r="F206" s="73"/>
      <c r="G206" s="286"/>
      <c r="H206" s="27"/>
      <c r="J206" s="389"/>
      <c r="Q206" s="5"/>
      <c r="R206" s="183"/>
    </row>
    <row r="207">
      <c r="D207" s="73"/>
      <c r="E207" s="285"/>
      <c r="F207" s="73"/>
      <c r="G207" s="286"/>
      <c r="H207" s="27"/>
      <c r="J207" s="389"/>
      <c r="Q207" s="5"/>
      <c r="R207" s="183"/>
    </row>
    <row r="208">
      <c r="D208" s="73"/>
      <c r="E208" s="285"/>
      <c r="F208" s="73"/>
      <c r="G208" s="286"/>
      <c r="H208" s="27"/>
      <c r="J208" s="389"/>
      <c r="Q208" s="5"/>
      <c r="R208" s="183"/>
    </row>
    <row r="209">
      <c r="D209" s="73"/>
      <c r="E209" s="285"/>
      <c r="F209" s="73"/>
      <c r="G209" s="286"/>
      <c r="H209" s="27"/>
      <c r="J209" s="389"/>
      <c r="Q209" s="5"/>
      <c r="R209" s="183"/>
    </row>
    <row r="210">
      <c r="D210" s="73"/>
      <c r="E210" s="285"/>
      <c r="F210" s="73"/>
      <c r="G210" s="286"/>
      <c r="H210" s="27"/>
      <c r="J210" s="389"/>
      <c r="Q210" s="5"/>
      <c r="R210" s="183"/>
    </row>
    <row r="211">
      <c r="D211" s="73"/>
      <c r="E211" s="285"/>
      <c r="F211" s="73"/>
      <c r="G211" s="286"/>
      <c r="H211" s="27"/>
      <c r="J211" s="389"/>
      <c r="Q211" s="5"/>
      <c r="R211" s="183"/>
    </row>
    <row r="212">
      <c r="D212" s="73"/>
      <c r="E212" s="285"/>
      <c r="F212" s="73"/>
      <c r="G212" s="286"/>
      <c r="H212" s="27"/>
      <c r="J212" s="389"/>
      <c r="Q212" s="5"/>
      <c r="R212" s="183"/>
    </row>
    <row r="213">
      <c r="D213" s="73"/>
      <c r="E213" s="285"/>
      <c r="F213" s="73"/>
      <c r="G213" s="286"/>
      <c r="H213" s="27"/>
      <c r="J213" s="389"/>
      <c r="Q213" s="5"/>
      <c r="R213" s="183"/>
    </row>
    <row r="214">
      <c r="D214" s="73"/>
      <c r="E214" s="285"/>
      <c r="F214" s="73"/>
      <c r="G214" s="286"/>
      <c r="H214" s="27"/>
      <c r="J214" s="389"/>
      <c r="Q214" s="5"/>
      <c r="R214" s="183"/>
    </row>
    <row r="215">
      <c r="D215" s="73"/>
      <c r="E215" s="285"/>
      <c r="F215" s="73"/>
      <c r="G215" s="286"/>
      <c r="H215" s="27"/>
      <c r="J215" s="389"/>
      <c r="Q215" s="5"/>
      <c r="R215" s="183"/>
    </row>
    <row r="216">
      <c r="D216" s="73"/>
      <c r="E216" s="285"/>
      <c r="F216" s="73"/>
      <c r="G216" s="286"/>
      <c r="H216" s="27"/>
      <c r="J216" s="389"/>
      <c r="Q216" s="5"/>
      <c r="R216" s="183"/>
    </row>
    <row r="217">
      <c r="D217" s="73"/>
      <c r="E217" s="285"/>
      <c r="F217" s="73"/>
      <c r="G217" s="286"/>
      <c r="H217" s="27"/>
      <c r="J217" s="389"/>
      <c r="Q217" s="5"/>
      <c r="R217" s="183"/>
    </row>
    <row r="218">
      <c r="D218" s="73"/>
      <c r="E218" s="285"/>
      <c r="F218" s="73"/>
      <c r="G218" s="286"/>
      <c r="H218" s="27"/>
      <c r="J218" s="389"/>
      <c r="Q218" s="5"/>
      <c r="R218" s="183"/>
    </row>
    <row r="219">
      <c r="D219" s="73"/>
      <c r="E219" s="285"/>
      <c r="F219" s="73"/>
      <c r="G219" s="286"/>
      <c r="H219" s="27"/>
      <c r="J219" s="389"/>
      <c r="Q219" s="5"/>
      <c r="R219" s="183"/>
    </row>
    <row r="220">
      <c r="D220" s="73"/>
      <c r="E220" s="285"/>
      <c r="F220" s="73"/>
      <c r="G220" s="286"/>
      <c r="H220" s="27"/>
      <c r="J220" s="389"/>
      <c r="Q220" s="5"/>
      <c r="R220" s="183"/>
    </row>
    <row r="221">
      <c r="D221" s="73"/>
      <c r="E221" s="285"/>
      <c r="F221" s="73"/>
      <c r="G221" s="286"/>
      <c r="H221" s="27"/>
      <c r="J221" s="389"/>
      <c r="Q221" s="5"/>
      <c r="R221" s="183"/>
    </row>
    <row r="222">
      <c r="D222" s="73"/>
      <c r="E222" s="285"/>
      <c r="F222" s="73"/>
      <c r="G222" s="286"/>
      <c r="H222" s="27"/>
      <c r="J222" s="389"/>
      <c r="Q222" s="5"/>
      <c r="R222" s="183"/>
    </row>
    <row r="223">
      <c r="D223" s="73"/>
      <c r="E223" s="285"/>
      <c r="F223" s="73"/>
      <c r="G223" s="286"/>
      <c r="H223" s="27"/>
      <c r="J223" s="389"/>
      <c r="Q223" s="5"/>
      <c r="R223" s="183"/>
    </row>
    <row r="224">
      <c r="D224" s="73"/>
      <c r="E224" s="285"/>
      <c r="F224" s="73"/>
      <c r="G224" s="286"/>
      <c r="H224" s="27"/>
      <c r="J224" s="389"/>
      <c r="Q224" s="5"/>
      <c r="R224" s="183"/>
    </row>
    <row r="225">
      <c r="D225" s="73"/>
      <c r="E225" s="285"/>
      <c r="F225" s="73"/>
      <c r="G225" s="286"/>
      <c r="H225" s="27"/>
      <c r="J225" s="389"/>
      <c r="Q225" s="5"/>
      <c r="R225" s="183"/>
    </row>
    <row r="226">
      <c r="D226" s="73"/>
      <c r="E226" s="285"/>
      <c r="F226" s="73"/>
      <c r="G226" s="286"/>
      <c r="H226" s="27"/>
      <c r="J226" s="389"/>
      <c r="Q226" s="5"/>
      <c r="R226" s="183"/>
    </row>
    <row r="227">
      <c r="D227" s="73"/>
      <c r="E227" s="285"/>
      <c r="F227" s="73"/>
      <c r="G227" s="286"/>
      <c r="H227" s="27"/>
      <c r="J227" s="389"/>
      <c r="Q227" s="5"/>
      <c r="R227" s="183"/>
    </row>
    <row r="228">
      <c r="D228" s="73"/>
      <c r="E228" s="285"/>
      <c r="F228" s="73"/>
      <c r="G228" s="286"/>
      <c r="H228" s="27"/>
      <c r="J228" s="389"/>
      <c r="Q228" s="5"/>
      <c r="R228" s="183"/>
    </row>
    <row r="229">
      <c r="D229" s="73"/>
      <c r="E229" s="285"/>
      <c r="F229" s="73"/>
      <c r="G229" s="286"/>
      <c r="H229" s="27"/>
      <c r="J229" s="389"/>
      <c r="Q229" s="5"/>
      <c r="R229" s="183"/>
    </row>
    <row r="230">
      <c r="D230" s="73"/>
      <c r="E230" s="285"/>
      <c r="F230" s="73"/>
      <c r="G230" s="286"/>
      <c r="H230" s="27"/>
      <c r="J230" s="389"/>
      <c r="Q230" s="5"/>
      <c r="R230" s="183"/>
    </row>
    <row r="231">
      <c r="D231" s="73"/>
      <c r="E231" s="285"/>
      <c r="F231" s="73"/>
      <c r="G231" s="286"/>
      <c r="H231" s="27"/>
      <c r="J231" s="389"/>
      <c r="Q231" s="5"/>
      <c r="R231" s="183"/>
    </row>
    <row r="232">
      <c r="D232" s="73"/>
      <c r="E232" s="285"/>
      <c r="F232" s="73"/>
      <c r="G232" s="286"/>
      <c r="H232" s="27"/>
      <c r="J232" s="389"/>
      <c r="Q232" s="5"/>
      <c r="R232" s="183"/>
    </row>
    <row r="233">
      <c r="D233" s="73"/>
      <c r="E233" s="285"/>
      <c r="F233" s="73"/>
      <c r="G233" s="286"/>
      <c r="H233" s="27"/>
      <c r="J233" s="389"/>
      <c r="Q233" s="5"/>
      <c r="R233" s="183"/>
    </row>
    <row r="234">
      <c r="D234" s="73"/>
      <c r="E234" s="285"/>
      <c r="F234" s="73"/>
      <c r="G234" s="286"/>
      <c r="H234" s="27"/>
      <c r="J234" s="389"/>
      <c r="Q234" s="5"/>
      <c r="R234" s="183"/>
    </row>
    <row r="235">
      <c r="D235" s="73"/>
      <c r="E235" s="285"/>
      <c r="F235" s="73"/>
      <c r="G235" s="286"/>
      <c r="H235" s="27"/>
      <c r="J235" s="389"/>
      <c r="Q235" s="5"/>
      <c r="R235" s="183"/>
    </row>
    <row r="236">
      <c r="D236" s="73"/>
      <c r="E236" s="285"/>
      <c r="F236" s="73"/>
      <c r="G236" s="286"/>
      <c r="H236" s="27"/>
      <c r="J236" s="389"/>
      <c r="Q236" s="5"/>
      <c r="R236" s="183"/>
    </row>
    <row r="237">
      <c r="D237" s="73"/>
      <c r="E237" s="285"/>
      <c r="F237" s="73"/>
      <c r="G237" s="286"/>
      <c r="H237" s="27"/>
      <c r="J237" s="389"/>
      <c r="Q237" s="5"/>
      <c r="R237" s="183"/>
    </row>
    <row r="238">
      <c r="D238" s="73"/>
      <c r="E238" s="285"/>
      <c r="F238" s="73"/>
      <c r="G238" s="286"/>
      <c r="H238" s="27"/>
      <c r="J238" s="389"/>
      <c r="Q238" s="5"/>
      <c r="R238" s="183"/>
    </row>
    <row r="239">
      <c r="D239" s="73"/>
      <c r="E239" s="285"/>
      <c r="F239" s="73"/>
      <c r="G239" s="286"/>
      <c r="H239" s="27"/>
      <c r="J239" s="389"/>
      <c r="Q239" s="5"/>
      <c r="R239" s="183"/>
    </row>
    <row r="240">
      <c r="D240" s="73"/>
      <c r="E240" s="285"/>
      <c r="F240" s="73"/>
      <c r="G240" s="286"/>
      <c r="H240" s="27"/>
      <c r="J240" s="389"/>
      <c r="Q240" s="5"/>
      <c r="R240" s="183"/>
    </row>
    <row r="241">
      <c r="D241" s="73"/>
      <c r="E241" s="285"/>
      <c r="F241" s="73"/>
      <c r="G241" s="286"/>
      <c r="H241" s="27"/>
      <c r="J241" s="389"/>
      <c r="Q241" s="5"/>
      <c r="R241" s="183"/>
    </row>
    <row r="242">
      <c r="D242" s="73"/>
      <c r="E242" s="285"/>
      <c r="F242" s="73"/>
      <c r="G242" s="286"/>
      <c r="H242" s="27"/>
      <c r="J242" s="389"/>
      <c r="Q242" s="5"/>
      <c r="R242" s="183"/>
    </row>
    <row r="243">
      <c r="D243" s="73"/>
      <c r="E243" s="285"/>
      <c r="F243" s="73"/>
      <c r="G243" s="286"/>
      <c r="H243" s="27"/>
      <c r="J243" s="389"/>
      <c r="Q243" s="5"/>
      <c r="R243" s="183"/>
    </row>
    <row r="244">
      <c r="D244" s="73"/>
      <c r="E244" s="285"/>
      <c r="F244" s="73"/>
      <c r="G244" s="286"/>
      <c r="H244" s="27"/>
      <c r="J244" s="389"/>
      <c r="Q244" s="5"/>
      <c r="R244" s="183"/>
    </row>
    <row r="245">
      <c r="D245" s="73"/>
      <c r="E245" s="285"/>
      <c r="F245" s="73"/>
      <c r="G245" s="286"/>
      <c r="H245" s="27"/>
      <c r="J245" s="389"/>
      <c r="Q245" s="5"/>
      <c r="R245" s="183"/>
    </row>
    <row r="246">
      <c r="D246" s="73"/>
      <c r="E246" s="285"/>
      <c r="F246" s="73"/>
      <c r="G246" s="286"/>
      <c r="H246" s="27"/>
      <c r="J246" s="389"/>
      <c r="Q246" s="5"/>
      <c r="R246" s="183"/>
    </row>
    <row r="247">
      <c r="D247" s="73"/>
      <c r="E247" s="285"/>
      <c r="F247" s="73"/>
      <c r="G247" s="286"/>
      <c r="H247" s="27"/>
      <c r="J247" s="389"/>
      <c r="Q247" s="5"/>
      <c r="R247" s="183"/>
    </row>
    <row r="248">
      <c r="D248" s="73"/>
      <c r="E248" s="285"/>
      <c r="F248" s="73"/>
      <c r="G248" s="286"/>
      <c r="H248" s="27"/>
      <c r="J248" s="389"/>
      <c r="Q248" s="5"/>
      <c r="R248" s="183"/>
    </row>
    <row r="249">
      <c r="D249" s="73"/>
      <c r="E249" s="285"/>
      <c r="F249" s="73"/>
      <c r="G249" s="286"/>
      <c r="H249" s="27"/>
      <c r="J249" s="389"/>
      <c r="Q249" s="5"/>
      <c r="R249" s="183"/>
    </row>
    <row r="250">
      <c r="D250" s="73"/>
      <c r="E250" s="285"/>
      <c r="F250" s="73"/>
      <c r="G250" s="286"/>
      <c r="H250" s="27"/>
      <c r="J250" s="389"/>
      <c r="Q250" s="5"/>
      <c r="R250" s="183"/>
    </row>
    <row r="251">
      <c r="D251" s="73"/>
      <c r="E251" s="285"/>
      <c r="F251" s="73"/>
      <c r="G251" s="286"/>
      <c r="H251" s="27"/>
      <c r="J251" s="389"/>
      <c r="Q251" s="5"/>
      <c r="R251" s="183"/>
    </row>
    <row r="252">
      <c r="D252" s="73"/>
      <c r="E252" s="285"/>
      <c r="F252" s="73"/>
      <c r="G252" s="286"/>
      <c r="H252" s="27"/>
      <c r="J252" s="389"/>
      <c r="Q252" s="5"/>
      <c r="R252" s="183"/>
    </row>
    <row r="253">
      <c r="D253" s="73"/>
      <c r="E253" s="285"/>
      <c r="F253" s="73"/>
      <c r="G253" s="286"/>
      <c r="H253" s="27"/>
      <c r="J253" s="389"/>
      <c r="Q253" s="5"/>
      <c r="R253" s="183"/>
    </row>
    <row r="254">
      <c r="D254" s="73"/>
      <c r="E254" s="285"/>
      <c r="F254" s="73"/>
      <c r="G254" s="286"/>
      <c r="H254" s="27"/>
      <c r="J254" s="389"/>
      <c r="Q254" s="5"/>
      <c r="R254" s="183"/>
    </row>
    <row r="255">
      <c r="D255" s="73"/>
      <c r="E255" s="285"/>
      <c r="F255" s="73"/>
      <c r="G255" s="286"/>
      <c r="H255" s="27"/>
      <c r="J255" s="389"/>
      <c r="Q255" s="5"/>
      <c r="R255" s="183"/>
    </row>
    <row r="256">
      <c r="D256" s="73"/>
      <c r="E256" s="285"/>
      <c r="F256" s="73"/>
      <c r="G256" s="286"/>
      <c r="H256" s="27"/>
      <c r="J256" s="389"/>
      <c r="Q256" s="5"/>
      <c r="R256" s="183"/>
    </row>
    <row r="257">
      <c r="D257" s="73"/>
      <c r="E257" s="285"/>
      <c r="F257" s="73"/>
      <c r="G257" s="286"/>
      <c r="H257" s="27"/>
      <c r="J257" s="389"/>
      <c r="Q257" s="5"/>
      <c r="R257" s="183"/>
    </row>
    <row r="258">
      <c r="D258" s="73"/>
      <c r="E258" s="285"/>
      <c r="F258" s="73"/>
      <c r="G258" s="286"/>
      <c r="H258" s="27"/>
      <c r="J258" s="389"/>
      <c r="Q258" s="5"/>
      <c r="R258" s="183"/>
    </row>
    <row r="259">
      <c r="D259" s="73"/>
      <c r="E259" s="285"/>
      <c r="F259" s="73"/>
      <c r="G259" s="286"/>
      <c r="H259" s="27"/>
      <c r="J259" s="389"/>
      <c r="Q259" s="5"/>
      <c r="R259" s="183"/>
    </row>
    <row r="260">
      <c r="D260" s="73"/>
      <c r="E260" s="285"/>
      <c r="F260" s="73"/>
      <c r="G260" s="286"/>
      <c r="H260" s="27"/>
      <c r="J260" s="389"/>
      <c r="Q260" s="5"/>
      <c r="R260" s="183"/>
    </row>
    <row r="261">
      <c r="D261" s="73"/>
      <c r="E261" s="285"/>
      <c r="F261" s="73"/>
      <c r="G261" s="286"/>
      <c r="H261" s="27"/>
      <c r="J261" s="389"/>
      <c r="Q261" s="5"/>
      <c r="R261" s="183"/>
    </row>
    <row r="262">
      <c r="D262" s="73"/>
      <c r="E262" s="285"/>
      <c r="F262" s="73"/>
      <c r="G262" s="286"/>
      <c r="H262" s="27"/>
      <c r="J262" s="389"/>
      <c r="Q262" s="5"/>
      <c r="R262" s="183"/>
    </row>
    <row r="263">
      <c r="D263" s="73"/>
      <c r="E263" s="285"/>
      <c r="F263" s="73"/>
      <c r="G263" s="286"/>
      <c r="H263" s="27"/>
      <c r="J263" s="389"/>
      <c r="Q263" s="5"/>
      <c r="R263" s="183"/>
    </row>
    <row r="264">
      <c r="D264" s="73"/>
      <c r="E264" s="285"/>
      <c r="F264" s="73"/>
      <c r="G264" s="286"/>
      <c r="H264" s="27"/>
      <c r="J264" s="389"/>
      <c r="Q264" s="5"/>
      <c r="R264" s="183"/>
    </row>
    <row r="265">
      <c r="D265" s="73"/>
      <c r="E265" s="285"/>
      <c r="F265" s="73"/>
      <c r="G265" s="286"/>
      <c r="H265" s="27"/>
      <c r="J265" s="389"/>
      <c r="Q265" s="5"/>
      <c r="R265" s="183"/>
    </row>
    <row r="266">
      <c r="D266" s="73"/>
      <c r="E266" s="285"/>
      <c r="F266" s="73"/>
      <c r="G266" s="286"/>
      <c r="H266" s="27"/>
      <c r="J266" s="389"/>
      <c r="Q266" s="5"/>
      <c r="R266" s="183"/>
    </row>
    <row r="267">
      <c r="D267" s="73"/>
      <c r="E267" s="285"/>
      <c r="F267" s="73"/>
      <c r="G267" s="286"/>
      <c r="H267" s="27"/>
      <c r="J267" s="389"/>
      <c r="Q267" s="5"/>
      <c r="R267" s="183"/>
    </row>
    <row r="268">
      <c r="D268" s="73"/>
      <c r="E268" s="285"/>
      <c r="F268" s="73"/>
      <c r="G268" s="286"/>
      <c r="H268" s="27"/>
      <c r="J268" s="389"/>
      <c r="Q268" s="5"/>
      <c r="R268" s="183"/>
    </row>
    <row r="269">
      <c r="D269" s="73"/>
      <c r="E269" s="285"/>
      <c r="F269" s="73"/>
      <c r="G269" s="286"/>
      <c r="H269" s="27"/>
      <c r="J269" s="389"/>
      <c r="Q269" s="5"/>
      <c r="R269" s="183"/>
    </row>
    <row r="270">
      <c r="D270" s="73"/>
      <c r="E270" s="285"/>
      <c r="F270" s="73"/>
      <c r="G270" s="286"/>
      <c r="H270" s="27"/>
      <c r="J270" s="389"/>
      <c r="Q270" s="5"/>
      <c r="R270" s="183"/>
    </row>
    <row r="271">
      <c r="D271" s="73"/>
      <c r="E271" s="285"/>
      <c r="F271" s="73"/>
      <c r="G271" s="286"/>
      <c r="H271" s="27"/>
      <c r="J271" s="389"/>
      <c r="Q271" s="5"/>
      <c r="R271" s="183"/>
    </row>
    <row r="272">
      <c r="D272" s="73"/>
      <c r="E272" s="285"/>
      <c r="F272" s="73"/>
      <c r="G272" s="286"/>
      <c r="H272" s="27"/>
      <c r="J272" s="389"/>
      <c r="Q272" s="5"/>
      <c r="R272" s="183"/>
    </row>
    <row r="273">
      <c r="D273" s="73"/>
      <c r="E273" s="285"/>
      <c r="F273" s="73"/>
      <c r="G273" s="286"/>
      <c r="H273" s="27"/>
      <c r="J273" s="389"/>
      <c r="Q273" s="5"/>
      <c r="R273" s="183"/>
    </row>
    <row r="274">
      <c r="D274" s="73"/>
      <c r="E274" s="285"/>
      <c r="F274" s="73"/>
      <c r="G274" s="286"/>
      <c r="H274" s="27"/>
      <c r="J274" s="389"/>
      <c r="Q274" s="5"/>
      <c r="R274" s="183"/>
    </row>
    <row r="275">
      <c r="D275" s="73"/>
      <c r="E275" s="285"/>
      <c r="F275" s="73"/>
      <c r="G275" s="286"/>
      <c r="H275" s="27"/>
      <c r="J275" s="389"/>
      <c r="Q275" s="5"/>
      <c r="R275" s="183"/>
    </row>
    <row r="276">
      <c r="D276" s="73"/>
      <c r="E276" s="285"/>
      <c r="F276" s="73"/>
      <c r="G276" s="286"/>
      <c r="H276" s="27"/>
      <c r="J276" s="389"/>
      <c r="Q276" s="5"/>
      <c r="R276" s="183"/>
    </row>
    <row r="277">
      <c r="D277" s="73"/>
      <c r="E277" s="285"/>
      <c r="F277" s="73"/>
      <c r="G277" s="286"/>
      <c r="H277" s="27"/>
      <c r="J277" s="389"/>
      <c r="Q277" s="5"/>
      <c r="R277" s="183"/>
    </row>
    <row r="278">
      <c r="D278" s="73"/>
      <c r="E278" s="285"/>
      <c r="F278" s="73"/>
      <c r="G278" s="286"/>
      <c r="H278" s="27"/>
      <c r="J278" s="389"/>
      <c r="Q278" s="5"/>
      <c r="R278" s="183"/>
    </row>
    <row r="279">
      <c r="D279" s="73"/>
      <c r="E279" s="285"/>
      <c r="F279" s="73"/>
      <c r="G279" s="286"/>
      <c r="H279" s="27"/>
      <c r="J279" s="389"/>
      <c r="Q279" s="5"/>
      <c r="R279" s="183"/>
    </row>
    <row r="280">
      <c r="D280" s="73"/>
      <c r="E280" s="285"/>
      <c r="F280" s="73"/>
      <c r="G280" s="286"/>
      <c r="H280" s="27"/>
      <c r="J280" s="389"/>
      <c r="Q280" s="5"/>
      <c r="R280" s="183"/>
    </row>
    <row r="281">
      <c r="D281" s="73"/>
      <c r="E281" s="285"/>
      <c r="F281" s="73"/>
      <c r="G281" s="286"/>
      <c r="H281" s="27"/>
      <c r="J281" s="389"/>
      <c r="Q281" s="5"/>
      <c r="R281" s="183"/>
    </row>
    <row r="282">
      <c r="D282" s="73"/>
      <c r="E282" s="285"/>
      <c r="F282" s="73"/>
      <c r="G282" s="286"/>
      <c r="H282" s="27"/>
      <c r="J282" s="389"/>
      <c r="Q282" s="5"/>
      <c r="R282" s="183"/>
    </row>
    <row r="283">
      <c r="D283" s="73"/>
      <c r="E283" s="285"/>
      <c r="F283" s="73"/>
      <c r="G283" s="286"/>
      <c r="H283" s="27"/>
      <c r="J283" s="389"/>
      <c r="Q283" s="5"/>
      <c r="R283" s="183"/>
    </row>
    <row r="284">
      <c r="D284" s="73"/>
      <c r="E284" s="285"/>
      <c r="F284" s="73"/>
      <c r="G284" s="286"/>
      <c r="H284" s="27"/>
      <c r="J284" s="389"/>
      <c r="Q284" s="5"/>
      <c r="R284" s="183"/>
    </row>
    <row r="285">
      <c r="D285" s="73"/>
      <c r="E285" s="285"/>
      <c r="F285" s="73"/>
      <c r="G285" s="286"/>
      <c r="H285" s="27"/>
      <c r="J285" s="389"/>
      <c r="Q285" s="5"/>
      <c r="R285" s="183"/>
    </row>
    <row r="286">
      <c r="D286" s="73"/>
      <c r="E286" s="285"/>
      <c r="F286" s="73"/>
      <c r="G286" s="286"/>
      <c r="H286" s="27"/>
      <c r="J286" s="389"/>
      <c r="Q286" s="5"/>
      <c r="R286" s="183"/>
    </row>
    <row r="287">
      <c r="D287" s="73"/>
      <c r="E287" s="285"/>
      <c r="F287" s="73"/>
      <c r="G287" s="286"/>
      <c r="H287" s="27"/>
      <c r="J287" s="389"/>
      <c r="Q287" s="5"/>
      <c r="R287" s="183"/>
    </row>
    <row r="288">
      <c r="D288" s="73"/>
      <c r="E288" s="285"/>
      <c r="F288" s="73"/>
      <c r="G288" s="286"/>
      <c r="H288" s="27"/>
      <c r="J288" s="389"/>
      <c r="Q288" s="5"/>
      <c r="R288" s="183"/>
    </row>
    <row r="289">
      <c r="D289" s="73"/>
      <c r="E289" s="285"/>
      <c r="F289" s="73"/>
      <c r="G289" s="286"/>
      <c r="H289" s="27"/>
      <c r="J289" s="389"/>
      <c r="Q289" s="5"/>
      <c r="R289" s="183"/>
    </row>
    <row r="290">
      <c r="D290" s="73"/>
      <c r="E290" s="285"/>
      <c r="F290" s="73"/>
      <c r="G290" s="286"/>
      <c r="H290" s="27"/>
      <c r="J290" s="389"/>
      <c r="Q290" s="5"/>
      <c r="R290" s="183"/>
    </row>
    <row r="291">
      <c r="D291" s="73"/>
      <c r="E291" s="285"/>
      <c r="F291" s="73"/>
      <c r="G291" s="286"/>
      <c r="H291" s="27"/>
      <c r="J291" s="389"/>
      <c r="Q291" s="5"/>
      <c r="R291" s="183"/>
    </row>
    <row r="292">
      <c r="D292" s="73"/>
      <c r="E292" s="285"/>
      <c r="F292" s="73"/>
      <c r="G292" s="286"/>
      <c r="H292" s="27"/>
      <c r="J292" s="389"/>
      <c r="Q292" s="5"/>
      <c r="R292" s="183"/>
    </row>
    <row r="293">
      <c r="D293" s="73"/>
      <c r="E293" s="285"/>
      <c r="F293" s="73"/>
      <c r="G293" s="286"/>
      <c r="H293" s="27"/>
      <c r="J293" s="389"/>
      <c r="Q293" s="5"/>
      <c r="R293" s="183"/>
    </row>
    <row r="294">
      <c r="D294" s="73"/>
      <c r="E294" s="285"/>
      <c r="F294" s="73"/>
      <c r="G294" s="286"/>
      <c r="H294" s="27"/>
      <c r="J294" s="389"/>
      <c r="Q294" s="5"/>
      <c r="R294" s="183"/>
    </row>
    <row r="295">
      <c r="D295" s="73"/>
      <c r="E295" s="285"/>
      <c r="F295" s="73"/>
      <c r="G295" s="286"/>
      <c r="H295" s="27"/>
      <c r="J295" s="389"/>
      <c r="Q295" s="5"/>
      <c r="R295" s="183"/>
    </row>
    <row r="296">
      <c r="D296" s="73"/>
      <c r="E296" s="285"/>
      <c r="F296" s="73"/>
      <c r="G296" s="286"/>
      <c r="H296" s="27"/>
      <c r="J296" s="389"/>
      <c r="Q296" s="5"/>
      <c r="R296" s="183"/>
    </row>
    <row r="297">
      <c r="D297" s="73"/>
      <c r="E297" s="285"/>
      <c r="F297" s="73"/>
      <c r="G297" s="286"/>
      <c r="H297" s="27"/>
      <c r="J297" s="389"/>
      <c r="Q297" s="5"/>
      <c r="R297" s="183"/>
    </row>
    <row r="298">
      <c r="D298" s="73"/>
      <c r="E298" s="285"/>
      <c r="F298" s="73"/>
      <c r="G298" s="286"/>
      <c r="H298" s="27"/>
      <c r="J298" s="389"/>
      <c r="Q298" s="5"/>
      <c r="R298" s="183"/>
    </row>
    <row r="299">
      <c r="D299" s="73"/>
      <c r="E299" s="285"/>
      <c r="F299" s="73"/>
      <c r="G299" s="286"/>
      <c r="H299" s="27"/>
      <c r="J299" s="389"/>
      <c r="Q299" s="5"/>
      <c r="R299" s="183"/>
    </row>
    <row r="300">
      <c r="D300" s="73"/>
      <c r="E300" s="285"/>
      <c r="F300" s="73"/>
      <c r="G300" s="286"/>
      <c r="H300" s="27"/>
      <c r="J300" s="389"/>
      <c r="Q300" s="5"/>
      <c r="R300" s="183"/>
    </row>
    <row r="301">
      <c r="D301" s="73"/>
      <c r="E301" s="285"/>
      <c r="F301" s="73"/>
      <c r="G301" s="286"/>
      <c r="H301" s="27"/>
      <c r="J301" s="389"/>
      <c r="Q301" s="5"/>
      <c r="R301" s="183"/>
    </row>
    <row r="302">
      <c r="D302" s="73"/>
      <c r="E302" s="285"/>
      <c r="F302" s="73"/>
      <c r="G302" s="286"/>
      <c r="H302" s="27"/>
      <c r="J302" s="389"/>
      <c r="Q302" s="5"/>
      <c r="R302" s="183"/>
    </row>
    <row r="303">
      <c r="D303" s="73"/>
      <c r="E303" s="285"/>
      <c r="F303" s="73"/>
      <c r="G303" s="286"/>
      <c r="H303" s="27"/>
      <c r="J303" s="389"/>
      <c r="Q303" s="5"/>
      <c r="R303" s="183"/>
    </row>
    <row r="304">
      <c r="D304" s="73"/>
      <c r="E304" s="285"/>
      <c r="F304" s="73"/>
      <c r="G304" s="286"/>
      <c r="H304" s="27"/>
      <c r="J304" s="389"/>
      <c r="Q304" s="5"/>
      <c r="R304" s="183"/>
    </row>
    <row r="305">
      <c r="D305" s="73"/>
      <c r="E305" s="285"/>
      <c r="F305" s="73"/>
      <c r="G305" s="286"/>
      <c r="H305" s="27"/>
      <c r="J305" s="389"/>
      <c r="Q305" s="5"/>
      <c r="R305" s="183"/>
    </row>
    <row r="306">
      <c r="D306" s="73"/>
      <c r="E306" s="285"/>
      <c r="F306" s="73"/>
      <c r="G306" s="286"/>
      <c r="H306" s="27"/>
      <c r="J306" s="389"/>
      <c r="Q306" s="5"/>
      <c r="R306" s="183"/>
    </row>
    <row r="307">
      <c r="D307" s="73"/>
      <c r="E307" s="285"/>
      <c r="F307" s="73"/>
      <c r="G307" s="286"/>
      <c r="H307" s="27"/>
      <c r="J307" s="389"/>
      <c r="Q307" s="5"/>
      <c r="R307" s="183"/>
    </row>
    <row r="308">
      <c r="D308" s="73"/>
      <c r="E308" s="285"/>
      <c r="F308" s="73"/>
      <c r="G308" s="286"/>
      <c r="H308" s="27"/>
      <c r="J308" s="389"/>
      <c r="Q308" s="5"/>
      <c r="R308" s="183"/>
    </row>
    <row r="309">
      <c r="D309" s="73"/>
      <c r="E309" s="285"/>
      <c r="F309" s="73"/>
      <c r="G309" s="286"/>
      <c r="H309" s="27"/>
      <c r="J309" s="389"/>
      <c r="Q309" s="5"/>
      <c r="R309" s="183"/>
    </row>
    <row r="310">
      <c r="D310" s="73"/>
      <c r="E310" s="285"/>
      <c r="F310" s="73"/>
      <c r="G310" s="286"/>
      <c r="H310" s="27"/>
      <c r="J310" s="389"/>
      <c r="Q310" s="5"/>
      <c r="R310" s="183"/>
    </row>
    <row r="311">
      <c r="D311" s="73"/>
      <c r="E311" s="285"/>
      <c r="F311" s="73"/>
      <c r="G311" s="286"/>
      <c r="H311" s="27"/>
      <c r="J311" s="389"/>
      <c r="Q311" s="5"/>
      <c r="R311" s="183"/>
    </row>
    <row r="312">
      <c r="D312" s="73"/>
      <c r="E312" s="285"/>
      <c r="F312" s="73"/>
      <c r="G312" s="286"/>
      <c r="H312" s="27"/>
      <c r="J312" s="389"/>
      <c r="Q312" s="5"/>
      <c r="R312" s="183"/>
    </row>
    <row r="313">
      <c r="D313" s="73"/>
      <c r="E313" s="285"/>
      <c r="F313" s="73"/>
      <c r="G313" s="286"/>
      <c r="H313" s="27"/>
      <c r="J313" s="389"/>
      <c r="Q313" s="5"/>
      <c r="R313" s="183"/>
    </row>
    <row r="314">
      <c r="D314" s="73"/>
      <c r="E314" s="285"/>
      <c r="F314" s="73"/>
      <c r="G314" s="286"/>
      <c r="H314" s="27"/>
      <c r="J314" s="389"/>
      <c r="Q314" s="5"/>
      <c r="R314" s="183"/>
    </row>
    <row r="315">
      <c r="D315" s="73"/>
      <c r="E315" s="285"/>
      <c r="F315" s="73"/>
      <c r="G315" s="286"/>
      <c r="H315" s="27"/>
      <c r="J315" s="389"/>
      <c r="Q315" s="5"/>
      <c r="R315" s="183"/>
    </row>
    <row r="316">
      <c r="D316" s="73"/>
      <c r="E316" s="285"/>
      <c r="F316" s="73"/>
      <c r="G316" s="286"/>
      <c r="H316" s="27"/>
      <c r="J316" s="389"/>
      <c r="Q316" s="5"/>
      <c r="R316" s="183"/>
    </row>
    <row r="317">
      <c r="D317" s="73"/>
      <c r="E317" s="285"/>
      <c r="F317" s="73"/>
      <c r="G317" s="286"/>
      <c r="H317" s="27"/>
      <c r="J317" s="389"/>
      <c r="Q317" s="5"/>
      <c r="R317" s="183"/>
    </row>
    <row r="318">
      <c r="D318" s="73"/>
      <c r="E318" s="285"/>
      <c r="F318" s="73"/>
      <c r="G318" s="286"/>
      <c r="H318" s="27"/>
      <c r="J318" s="389"/>
      <c r="Q318" s="5"/>
      <c r="R318" s="183"/>
    </row>
    <row r="319">
      <c r="D319" s="73"/>
      <c r="E319" s="285"/>
      <c r="F319" s="73"/>
      <c r="G319" s="286"/>
      <c r="H319" s="27"/>
      <c r="J319" s="389"/>
      <c r="Q319" s="5"/>
      <c r="R319" s="183"/>
    </row>
    <row r="320">
      <c r="D320" s="73"/>
      <c r="E320" s="285"/>
      <c r="F320" s="73"/>
      <c r="G320" s="286"/>
      <c r="H320" s="27"/>
      <c r="J320" s="389"/>
      <c r="Q320" s="5"/>
      <c r="R320" s="183"/>
    </row>
    <row r="321">
      <c r="D321" s="73"/>
      <c r="E321" s="285"/>
      <c r="F321" s="73"/>
      <c r="G321" s="286"/>
      <c r="H321" s="27"/>
      <c r="J321" s="389"/>
      <c r="Q321" s="5"/>
      <c r="R321" s="183"/>
    </row>
    <row r="322">
      <c r="D322" s="73"/>
      <c r="E322" s="285"/>
      <c r="F322" s="73"/>
      <c r="G322" s="286"/>
      <c r="H322" s="27"/>
      <c r="J322" s="389"/>
      <c r="Q322" s="5"/>
      <c r="R322" s="183"/>
    </row>
    <row r="323">
      <c r="D323" s="73"/>
      <c r="E323" s="285"/>
      <c r="F323" s="73"/>
      <c r="G323" s="286"/>
      <c r="H323" s="27"/>
      <c r="J323" s="389"/>
      <c r="Q323" s="5"/>
      <c r="R323" s="183"/>
    </row>
    <row r="324">
      <c r="D324" s="73"/>
      <c r="E324" s="285"/>
      <c r="F324" s="73"/>
      <c r="G324" s="286"/>
      <c r="H324" s="27"/>
      <c r="J324" s="389"/>
      <c r="Q324" s="5"/>
      <c r="R324" s="183"/>
    </row>
    <row r="325">
      <c r="D325" s="73"/>
      <c r="E325" s="285"/>
      <c r="F325" s="73"/>
      <c r="G325" s="286"/>
      <c r="H325" s="27"/>
      <c r="J325" s="389"/>
      <c r="Q325" s="5"/>
      <c r="R325" s="183"/>
    </row>
    <row r="326">
      <c r="D326" s="73"/>
      <c r="E326" s="285"/>
      <c r="F326" s="73"/>
      <c r="G326" s="286"/>
      <c r="H326" s="27"/>
      <c r="J326" s="389"/>
      <c r="Q326" s="5"/>
      <c r="R326" s="183"/>
    </row>
    <row r="327">
      <c r="D327" s="73"/>
      <c r="E327" s="285"/>
      <c r="F327" s="73"/>
      <c r="G327" s="286"/>
      <c r="H327" s="27"/>
      <c r="J327" s="389"/>
      <c r="Q327" s="5"/>
      <c r="R327" s="183"/>
    </row>
    <row r="328">
      <c r="D328" s="73"/>
      <c r="E328" s="285"/>
      <c r="F328" s="73"/>
      <c r="G328" s="286"/>
      <c r="H328" s="27"/>
      <c r="J328" s="389"/>
      <c r="Q328" s="5"/>
      <c r="R328" s="183"/>
    </row>
    <row r="329">
      <c r="D329" s="73"/>
      <c r="E329" s="285"/>
      <c r="F329" s="73"/>
      <c r="G329" s="286"/>
      <c r="H329" s="27"/>
      <c r="J329" s="389"/>
      <c r="Q329" s="5"/>
      <c r="R329" s="183"/>
    </row>
    <row r="330">
      <c r="D330" s="73"/>
      <c r="E330" s="285"/>
      <c r="F330" s="73"/>
      <c r="G330" s="286"/>
      <c r="H330" s="27"/>
      <c r="J330" s="389"/>
      <c r="Q330" s="5"/>
      <c r="R330" s="183"/>
    </row>
    <row r="331">
      <c r="D331" s="73"/>
      <c r="E331" s="285"/>
      <c r="F331" s="73"/>
      <c r="G331" s="286"/>
      <c r="H331" s="27"/>
      <c r="J331" s="389"/>
      <c r="Q331" s="5"/>
      <c r="R331" s="183"/>
    </row>
    <row r="332">
      <c r="D332" s="73"/>
      <c r="E332" s="285"/>
      <c r="F332" s="73"/>
      <c r="G332" s="286"/>
      <c r="H332" s="27"/>
      <c r="J332" s="389"/>
      <c r="Q332" s="5"/>
      <c r="R332" s="183"/>
    </row>
    <row r="333">
      <c r="D333" s="73"/>
      <c r="E333" s="285"/>
      <c r="F333" s="73"/>
      <c r="G333" s="286"/>
      <c r="H333" s="27"/>
      <c r="J333" s="389"/>
      <c r="Q333" s="5"/>
      <c r="R333" s="183"/>
    </row>
    <row r="334">
      <c r="D334" s="73"/>
      <c r="E334" s="285"/>
      <c r="F334" s="73"/>
      <c r="G334" s="286"/>
      <c r="H334" s="27"/>
      <c r="J334" s="389"/>
      <c r="Q334" s="5"/>
      <c r="R334" s="183"/>
    </row>
    <row r="335">
      <c r="D335" s="73"/>
      <c r="E335" s="285"/>
      <c r="F335" s="73"/>
      <c r="G335" s="286"/>
      <c r="H335" s="27"/>
      <c r="J335" s="389"/>
      <c r="Q335" s="5"/>
      <c r="R335" s="183"/>
    </row>
    <row r="336">
      <c r="D336" s="73"/>
      <c r="E336" s="285"/>
      <c r="F336" s="73"/>
      <c r="G336" s="286"/>
      <c r="H336" s="27"/>
      <c r="J336" s="389"/>
      <c r="Q336" s="5"/>
      <c r="R336" s="183"/>
    </row>
    <row r="337">
      <c r="D337" s="73"/>
      <c r="E337" s="285"/>
      <c r="F337" s="73"/>
      <c r="G337" s="286"/>
      <c r="H337" s="27"/>
      <c r="J337" s="389"/>
      <c r="Q337" s="5"/>
      <c r="R337" s="183"/>
    </row>
    <row r="338">
      <c r="D338" s="73"/>
      <c r="E338" s="285"/>
      <c r="F338" s="73"/>
      <c r="G338" s="286"/>
      <c r="H338" s="27"/>
      <c r="J338" s="389"/>
      <c r="Q338" s="5"/>
      <c r="R338" s="183"/>
    </row>
    <row r="339">
      <c r="D339" s="73"/>
      <c r="E339" s="285"/>
      <c r="F339" s="73"/>
      <c r="G339" s="286"/>
      <c r="H339" s="27"/>
      <c r="J339" s="389"/>
      <c r="Q339" s="5"/>
      <c r="R339" s="183"/>
    </row>
    <row r="340">
      <c r="D340" s="73"/>
      <c r="E340" s="285"/>
      <c r="F340" s="73"/>
      <c r="G340" s="286"/>
      <c r="H340" s="27"/>
      <c r="J340" s="389"/>
      <c r="Q340" s="5"/>
      <c r="R340" s="183"/>
    </row>
    <row r="341">
      <c r="D341" s="73"/>
      <c r="E341" s="285"/>
      <c r="F341" s="73"/>
      <c r="G341" s="286"/>
      <c r="H341" s="27"/>
      <c r="J341" s="389"/>
      <c r="Q341" s="5"/>
      <c r="R341" s="183"/>
    </row>
    <row r="342">
      <c r="D342" s="73"/>
      <c r="E342" s="285"/>
      <c r="F342" s="73"/>
      <c r="G342" s="286"/>
      <c r="H342" s="27"/>
      <c r="J342" s="389"/>
      <c r="Q342" s="5"/>
      <c r="R342" s="183"/>
    </row>
    <row r="343">
      <c r="D343" s="73"/>
      <c r="E343" s="285"/>
      <c r="F343" s="73"/>
      <c r="G343" s="286"/>
      <c r="H343" s="27"/>
      <c r="J343" s="389"/>
      <c r="Q343" s="5"/>
      <c r="R343" s="183"/>
    </row>
    <row r="344">
      <c r="D344" s="73"/>
      <c r="E344" s="285"/>
      <c r="F344" s="73"/>
      <c r="G344" s="286"/>
      <c r="H344" s="27"/>
      <c r="J344" s="389"/>
      <c r="Q344" s="5"/>
      <c r="R344" s="183"/>
    </row>
    <row r="345">
      <c r="D345" s="73"/>
      <c r="E345" s="285"/>
      <c r="F345" s="73"/>
      <c r="G345" s="286"/>
      <c r="H345" s="27"/>
      <c r="J345" s="389"/>
      <c r="Q345" s="5"/>
      <c r="R345" s="183"/>
    </row>
    <row r="346">
      <c r="D346" s="73"/>
      <c r="E346" s="285"/>
      <c r="F346" s="73"/>
      <c r="G346" s="286"/>
      <c r="H346" s="27"/>
      <c r="J346" s="389"/>
      <c r="Q346" s="5"/>
      <c r="R346" s="183"/>
    </row>
    <row r="347">
      <c r="D347" s="73"/>
      <c r="E347" s="285"/>
      <c r="F347" s="73"/>
      <c r="G347" s="286"/>
      <c r="H347" s="27"/>
      <c r="J347" s="389"/>
      <c r="Q347" s="5"/>
      <c r="R347" s="183"/>
    </row>
    <row r="348">
      <c r="D348" s="73"/>
      <c r="E348" s="285"/>
      <c r="F348" s="73"/>
      <c r="G348" s="286"/>
      <c r="H348" s="27"/>
      <c r="J348" s="389"/>
      <c r="Q348" s="5"/>
      <c r="R348" s="183"/>
    </row>
    <row r="349">
      <c r="D349" s="73"/>
      <c r="E349" s="285"/>
      <c r="F349" s="73"/>
      <c r="G349" s="286"/>
      <c r="H349" s="27"/>
      <c r="J349" s="389"/>
      <c r="Q349" s="5"/>
      <c r="R349" s="183"/>
    </row>
    <row r="350">
      <c r="D350" s="73"/>
      <c r="E350" s="285"/>
      <c r="F350" s="73"/>
      <c r="G350" s="286"/>
      <c r="H350" s="27"/>
      <c r="J350" s="389"/>
      <c r="Q350" s="5"/>
      <c r="R350" s="183"/>
    </row>
    <row r="351">
      <c r="D351" s="73"/>
      <c r="E351" s="285"/>
      <c r="F351" s="73"/>
      <c r="G351" s="286"/>
      <c r="H351" s="27"/>
      <c r="J351" s="389"/>
      <c r="Q351" s="5"/>
      <c r="R351" s="183"/>
    </row>
    <row r="352">
      <c r="D352" s="73"/>
      <c r="E352" s="285"/>
      <c r="F352" s="73"/>
      <c r="G352" s="286"/>
      <c r="H352" s="27"/>
      <c r="J352" s="389"/>
      <c r="Q352" s="5"/>
      <c r="R352" s="183"/>
    </row>
    <row r="353">
      <c r="D353" s="73"/>
      <c r="E353" s="285"/>
      <c r="F353" s="73"/>
      <c r="G353" s="286"/>
      <c r="H353" s="27"/>
      <c r="J353" s="389"/>
      <c r="Q353" s="5"/>
      <c r="R353" s="183"/>
    </row>
    <row r="354">
      <c r="D354" s="73"/>
      <c r="E354" s="285"/>
      <c r="F354" s="73"/>
      <c r="G354" s="286"/>
      <c r="H354" s="27"/>
      <c r="J354" s="389"/>
      <c r="Q354" s="5"/>
      <c r="R354" s="183"/>
    </row>
    <row r="355">
      <c r="D355" s="73"/>
      <c r="E355" s="285"/>
      <c r="F355" s="73"/>
      <c r="G355" s="286"/>
      <c r="H355" s="27"/>
      <c r="J355" s="389"/>
      <c r="Q355" s="5"/>
      <c r="R355" s="183"/>
    </row>
    <row r="356">
      <c r="D356" s="73"/>
      <c r="E356" s="285"/>
      <c r="F356" s="73"/>
      <c r="G356" s="286"/>
      <c r="H356" s="27"/>
      <c r="J356" s="389"/>
      <c r="Q356" s="5"/>
      <c r="R356" s="183"/>
    </row>
    <row r="357">
      <c r="D357" s="73"/>
      <c r="E357" s="285"/>
      <c r="F357" s="73"/>
      <c r="G357" s="286"/>
      <c r="H357" s="27"/>
      <c r="J357" s="389"/>
      <c r="Q357" s="5"/>
      <c r="R357" s="183"/>
    </row>
    <row r="358">
      <c r="D358" s="73"/>
      <c r="E358" s="285"/>
      <c r="F358" s="73"/>
      <c r="G358" s="286"/>
      <c r="H358" s="27"/>
      <c r="J358" s="389"/>
      <c r="Q358" s="5"/>
      <c r="R358" s="183"/>
    </row>
    <row r="359">
      <c r="D359" s="73"/>
      <c r="E359" s="285"/>
      <c r="F359" s="73"/>
      <c r="G359" s="286"/>
      <c r="H359" s="27"/>
      <c r="J359" s="389"/>
      <c r="Q359" s="5"/>
      <c r="R359" s="183"/>
    </row>
    <row r="360">
      <c r="D360" s="73"/>
      <c r="E360" s="285"/>
      <c r="F360" s="73"/>
      <c r="G360" s="286"/>
      <c r="H360" s="27"/>
      <c r="J360" s="389"/>
      <c r="Q360" s="5"/>
      <c r="R360" s="183"/>
    </row>
    <row r="361">
      <c r="D361" s="73"/>
      <c r="E361" s="285"/>
      <c r="F361" s="73"/>
      <c r="G361" s="286"/>
      <c r="H361" s="27"/>
      <c r="J361" s="389"/>
      <c r="Q361" s="5"/>
      <c r="R361" s="183"/>
    </row>
    <row r="362">
      <c r="D362" s="73"/>
      <c r="E362" s="285"/>
      <c r="F362" s="73"/>
      <c r="G362" s="286"/>
      <c r="H362" s="27"/>
      <c r="J362" s="389"/>
      <c r="Q362" s="5"/>
      <c r="R362" s="183"/>
    </row>
    <row r="363">
      <c r="D363" s="73"/>
      <c r="E363" s="285"/>
      <c r="F363" s="73"/>
      <c r="G363" s="286"/>
      <c r="H363" s="27"/>
      <c r="J363" s="389"/>
      <c r="Q363" s="5"/>
      <c r="R363" s="183"/>
    </row>
    <row r="364">
      <c r="D364" s="73"/>
      <c r="E364" s="285"/>
      <c r="F364" s="73"/>
      <c r="G364" s="286"/>
      <c r="H364" s="27"/>
      <c r="J364" s="389"/>
      <c r="Q364" s="5"/>
      <c r="R364" s="183"/>
    </row>
    <row r="365">
      <c r="D365" s="73"/>
      <c r="E365" s="285"/>
      <c r="F365" s="73"/>
      <c r="G365" s="286"/>
      <c r="H365" s="27"/>
      <c r="J365" s="389"/>
      <c r="Q365" s="5"/>
      <c r="R365" s="183"/>
    </row>
    <row r="366">
      <c r="D366" s="73"/>
      <c r="E366" s="285"/>
      <c r="F366" s="73"/>
      <c r="G366" s="286"/>
      <c r="H366" s="27"/>
      <c r="J366" s="389"/>
      <c r="Q366" s="5"/>
      <c r="R366" s="183"/>
    </row>
    <row r="367">
      <c r="D367" s="73"/>
      <c r="E367" s="285"/>
      <c r="F367" s="73"/>
      <c r="G367" s="286"/>
      <c r="H367" s="27"/>
      <c r="J367" s="389"/>
      <c r="Q367" s="5"/>
      <c r="R367" s="183"/>
    </row>
    <row r="368">
      <c r="D368" s="73"/>
      <c r="E368" s="285"/>
      <c r="F368" s="73"/>
      <c r="G368" s="286"/>
      <c r="H368" s="27"/>
      <c r="J368" s="389"/>
      <c r="Q368" s="5"/>
      <c r="R368" s="183"/>
    </row>
    <row r="369">
      <c r="D369" s="73"/>
      <c r="E369" s="285"/>
      <c r="F369" s="73"/>
      <c r="G369" s="286"/>
      <c r="H369" s="27"/>
      <c r="J369" s="389"/>
      <c r="Q369" s="5"/>
      <c r="R369" s="183"/>
    </row>
    <row r="370">
      <c r="D370" s="73"/>
      <c r="E370" s="285"/>
      <c r="F370" s="73"/>
      <c r="G370" s="286"/>
      <c r="H370" s="27"/>
      <c r="J370" s="389"/>
      <c r="Q370" s="5"/>
      <c r="R370" s="183"/>
    </row>
    <row r="371">
      <c r="D371" s="73"/>
      <c r="E371" s="285"/>
      <c r="F371" s="73"/>
      <c r="G371" s="286"/>
      <c r="H371" s="27"/>
      <c r="J371" s="389"/>
      <c r="Q371" s="5"/>
      <c r="R371" s="183"/>
    </row>
    <row r="372">
      <c r="D372" s="73"/>
      <c r="E372" s="285"/>
      <c r="F372" s="73"/>
      <c r="G372" s="286"/>
      <c r="H372" s="27"/>
      <c r="J372" s="389"/>
      <c r="Q372" s="5"/>
      <c r="R372" s="183"/>
    </row>
    <row r="373">
      <c r="D373" s="73"/>
      <c r="E373" s="285"/>
      <c r="F373" s="73"/>
      <c r="G373" s="286"/>
      <c r="H373" s="27"/>
      <c r="J373" s="389"/>
      <c r="Q373" s="5"/>
      <c r="R373" s="183"/>
    </row>
    <row r="374">
      <c r="D374" s="73"/>
      <c r="E374" s="285"/>
      <c r="F374" s="73"/>
      <c r="G374" s="286"/>
      <c r="H374" s="27"/>
      <c r="J374" s="389"/>
      <c r="Q374" s="5"/>
      <c r="R374" s="183"/>
    </row>
    <row r="375">
      <c r="D375" s="73"/>
      <c r="E375" s="285"/>
      <c r="F375" s="73"/>
      <c r="G375" s="286"/>
      <c r="H375" s="27"/>
      <c r="J375" s="389"/>
      <c r="Q375" s="5"/>
      <c r="R375" s="183"/>
    </row>
    <row r="376">
      <c r="D376" s="73"/>
      <c r="E376" s="285"/>
      <c r="F376" s="73"/>
      <c r="G376" s="286"/>
      <c r="H376" s="27"/>
      <c r="J376" s="389"/>
      <c r="Q376" s="5"/>
      <c r="R376" s="183"/>
    </row>
    <row r="377">
      <c r="D377" s="73"/>
      <c r="E377" s="285"/>
      <c r="F377" s="73"/>
      <c r="G377" s="286"/>
      <c r="H377" s="27"/>
      <c r="J377" s="389"/>
      <c r="Q377" s="5"/>
      <c r="R377" s="183"/>
    </row>
    <row r="378">
      <c r="D378" s="73"/>
      <c r="E378" s="285"/>
      <c r="F378" s="73"/>
      <c r="G378" s="286"/>
      <c r="H378" s="27"/>
      <c r="J378" s="389"/>
      <c r="Q378" s="5"/>
      <c r="R378" s="183"/>
    </row>
    <row r="379">
      <c r="D379" s="73"/>
      <c r="E379" s="285"/>
      <c r="F379" s="73"/>
      <c r="G379" s="286"/>
      <c r="H379" s="27"/>
      <c r="J379" s="389"/>
      <c r="Q379" s="5"/>
      <c r="R379" s="183"/>
    </row>
    <row r="380">
      <c r="D380" s="73"/>
      <c r="E380" s="285"/>
      <c r="F380" s="73"/>
      <c r="G380" s="286"/>
      <c r="H380" s="27"/>
      <c r="J380" s="389"/>
      <c r="Q380" s="5"/>
      <c r="R380" s="183"/>
    </row>
    <row r="381">
      <c r="D381" s="73"/>
      <c r="E381" s="285"/>
      <c r="F381" s="73"/>
      <c r="G381" s="286"/>
      <c r="H381" s="27"/>
      <c r="J381" s="389"/>
      <c r="Q381" s="5"/>
      <c r="R381" s="183"/>
    </row>
    <row r="382">
      <c r="D382" s="73"/>
      <c r="E382" s="285"/>
      <c r="F382" s="73"/>
      <c r="G382" s="286"/>
      <c r="H382" s="27"/>
      <c r="J382" s="389"/>
      <c r="Q382" s="5"/>
      <c r="R382" s="183"/>
    </row>
    <row r="383">
      <c r="D383" s="73"/>
      <c r="E383" s="285"/>
      <c r="F383" s="73"/>
      <c r="G383" s="286"/>
      <c r="H383" s="27"/>
      <c r="J383" s="389"/>
      <c r="Q383" s="5"/>
      <c r="R383" s="183"/>
    </row>
    <row r="384">
      <c r="D384" s="73"/>
      <c r="E384" s="285"/>
      <c r="F384" s="73"/>
      <c r="G384" s="286"/>
      <c r="H384" s="27"/>
      <c r="J384" s="389"/>
      <c r="Q384" s="5"/>
      <c r="R384" s="183"/>
    </row>
    <row r="385">
      <c r="D385" s="73"/>
      <c r="E385" s="285"/>
      <c r="F385" s="73"/>
      <c r="G385" s="286"/>
      <c r="H385" s="27"/>
      <c r="J385" s="389"/>
      <c r="Q385" s="5"/>
      <c r="R385" s="183"/>
    </row>
    <row r="386">
      <c r="D386" s="73"/>
      <c r="E386" s="285"/>
      <c r="F386" s="73"/>
      <c r="G386" s="286"/>
      <c r="H386" s="27"/>
      <c r="J386" s="389"/>
      <c r="Q386" s="5"/>
      <c r="R386" s="183"/>
    </row>
    <row r="387">
      <c r="D387" s="73"/>
      <c r="E387" s="285"/>
      <c r="F387" s="73"/>
      <c r="G387" s="286"/>
      <c r="H387" s="27"/>
      <c r="J387" s="389"/>
      <c r="Q387" s="5"/>
      <c r="R387" s="183"/>
    </row>
    <row r="388">
      <c r="D388" s="73"/>
      <c r="E388" s="285"/>
      <c r="F388" s="73"/>
      <c r="G388" s="286"/>
      <c r="H388" s="27"/>
      <c r="J388" s="389"/>
      <c r="Q388" s="5"/>
      <c r="R388" s="183"/>
    </row>
    <row r="389">
      <c r="D389" s="73"/>
      <c r="E389" s="285"/>
      <c r="F389" s="73"/>
      <c r="G389" s="286"/>
      <c r="H389" s="27"/>
      <c r="J389" s="389"/>
      <c r="Q389" s="5"/>
      <c r="R389" s="183"/>
    </row>
    <row r="390">
      <c r="D390" s="73"/>
      <c r="E390" s="285"/>
      <c r="F390" s="73"/>
      <c r="G390" s="286"/>
      <c r="H390" s="27"/>
      <c r="J390" s="389"/>
      <c r="Q390" s="5"/>
      <c r="R390" s="183"/>
    </row>
    <row r="391">
      <c r="D391" s="73"/>
      <c r="E391" s="285"/>
      <c r="F391" s="73"/>
      <c r="G391" s="286"/>
      <c r="H391" s="27"/>
      <c r="J391" s="389"/>
      <c r="Q391" s="5"/>
      <c r="R391" s="183"/>
    </row>
    <row r="392">
      <c r="D392" s="73"/>
      <c r="E392" s="285"/>
      <c r="F392" s="73"/>
      <c r="G392" s="286"/>
      <c r="H392" s="27"/>
      <c r="J392" s="389"/>
      <c r="Q392" s="5"/>
      <c r="R392" s="183"/>
    </row>
    <row r="393">
      <c r="D393" s="73"/>
      <c r="E393" s="285"/>
      <c r="F393" s="73"/>
      <c r="G393" s="286"/>
      <c r="H393" s="27"/>
      <c r="J393" s="389"/>
      <c r="Q393" s="5"/>
      <c r="R393" s="183"/>
    </row>
    <row r="394">
      <c r="D394" s="73"/>
      <c r="E394" s="285"/>
      <c r="F394" s="73"/>
      <c r="G394" s="286"/>
      <c r="H394" s="27"/>
      <c r="J394" s="389"/>
      <c r="Q394" s="5"/>
      <c r="R394" s="183"/>
    </row>
    <row r="395">
      <c r="D395" s="73"/>
      <c r="E395" s="285"/>
      <c r="F395" s="73"/>
      <c r="G395" s="286"/>
      <c r="H395" s="27"/>
      <c r="J395" s="389"/>
      <c r="Q395" s="5"/>
      <c r="R395" s="183"/>
    </row>
    <row r="396">
      <c r="D396" s="73"/>
      <c r="E396" s="285"/>
      <c r="F396" s="73"/>
      <c r="G396" s="286"/>
      <c r="H396" s="27"/>
      <c r="J396" s="389"/>
      <c r="Q396" s="5"/>
      <c r="R396" s="183"/>
    </row>
    <row r="397">
      <c r="D397" s="73"/>
      <c r="E397" s="285"/>
      <c r="F397" s="73"/>
      <c r="G397" s="286"/>
      <c r="H397" s="27"/>
      <c r="J397" s="389"/>
      <c r="Q397" s="5"/>
      <c r="R397" s="183"/>
    </row>
    <row r="398">
      <c r="D398" s="73"/>
      <c r="E398" s="285"/>
      <c r="F398" s="73"/>
      <c r="G398" s="286"/>
      <c r="H398" s="27"/>
      <c r="J398" s="389"/>
      <c r="Q398" s="5"/>
      <c r="R398" s="183"/>
    </row>
    <row r="399">
      <c r="D399" s="73"/>
      <c r="E399" s="285"/>
      <c r="F399" s="73"/>
      <c r="G399" s="286"/>
      <c r="H399" s="27"/>
      <c r="J399" s="389"/>
      <c r="Q399" s="5"/>
      <c r="R399" s="183"/>
    </row>
    <row r="400">
      <c r="D400" s="73"/>
      <c r="E400" s="285"/>
      <c r="F400" s="73"/>
      <c r="G400" s="286"/>
      <c r="H400" s="27"/>
      <c r="J400" s="389"/>
      <c r="Q400" s="5"/>
      <c r="R400" s="183"/>
    </row>
    <row r="401">
      <c r="D401" s="73"/>
      <c r="E401" s="285"/>
      <c r="F401" s="73"/>
      <c r="G401" s="286"/>
      <c r="H401" s="27"/>
      <c r="J401" s="389"/>
      <c r="Q401" s="5"/>
      <c r="R401" s="183"/>
    </row>
    <row r="402">
      <c r="D402" s="73"/>
      <c r="E402" s="285"/>
      <c r="F402" s="73"/>
      <c r="G402" s="286"/>
      <c r="H402" s="27"/>
      <c r="J402" s="389"/>
      <c r="Q402" s="5"/>
      <c r="R402" s="183"/>
    </row>
    <row r="403">
      <c r="D403" s="73"/>
      <c r="E403" s="285"/>
      <c r="F403" s="73"/>
      <c r="G403" s="286"/>
      <c r="H403" s="27"/>
      <c r="J403" s="389"/>
      <c r="Q403" s="5"/>
      <c r="R403" s="183"/>
    </row>
    <row r="404">
      <c r="D404" s="73"/>
      <c r="E404" s="285"/>
      <c r="F404" s="73"/>
      <c r="G404" s="286"/>
      <c r="H404" s="27"/>
      <c r="J404" s="389"/>
      <c r="Q404" s="5"/>
      <c r="R404" s="183"/>
    </row>
    <row r="405">
      <c r="D405" s="73"/>
      <c r="E405" s="285"/>
      <c r="F405" s="73"/>
      <c r="G405" s="286"/>
      <c r="H405" s="27"/>
      <c r="J405" s="389"/>
      <c r="Q405" s="5"/>
      <c r="R405" s="183"/>
    </row>
    <row r="406">
      <c r="D406" s="73"/>
      <c r="E406" s="285"/>
      <c r="F406" s="73"/>
      <c r="G406" s="286"/>
      <c r="H406" s="27"/>
      <c r="J406" s="389"/>
      <c r="Q406" s="5"/>
      <c r="R406" s="183"/>
    </row>
    <row r="407">
      <c r="D407" s="73"/>
      <c r="E407" s="285"/>
      <c r="F407" s="73"/>
      <c r="G407" s="286"/>
      <c r="H407" s="27"/>
      <c r="J407" s="389"/>
      <c r="Q407" s="5"/>
      <c r="R407" s="183"/>
    </row>
    <row r="408">
      <c r="D408" s="73"/>
      <c r="E408" s="285"/>
      <c r="F408" s="73"/>
      <c r="G408" s="286"/>
      <c r="H408" s="27"/>
      <c r="J408" s="389"/>
      <c r="Q408" s="5"/>
      <c r="R408" s="183"/>
    </row>
    <row r="409">
      <c r="D409" s="73"/>
      <c r="E409" s="285"/>
      <c r="F409" s="73"/>
      <c r="G409" s="286"/>
      <c r="H409" s="27"/>
      <c r="J409" s="389"/>
      <c r="Q409" s="5"/>
      <c r="R409" s="183"/>
    </row>
    <row r="410">
      <c r="D410" s="73"/>
      <c r="E410" s="285"/>
      <c r="F410" s="73"/>
      <c r="G410" s="286"/>
      <c r="H410" s="27"/>
      <c r="J410" s="389"/>
      <c r="Q410" s="5"/>
      <c r="R410" s="183"/>
    </row>
    <row r="411">
      <c r="D411" s="73"/>
      <c r="E411" s="285"/>
      <c r="F411" s="73"/>
      <c r="G411" s="286"/>
      <c r="H411" s="27"/>
      <c r="J411" s="389"/>
      <c r="Q411" s="5"/>
      <c r="R411" s="183"/>
    </row>
    <row r="412">
      <c r="D412" s="73"/>
      <c r="E412" s="285"/>
      <c r="F412" s="73"/>
      <c r="G412" s="286"/>
      <c r="H412" s="27"/>
      <c r="J412" s="389"/>
      <c r="Q412" s="5"/>
      <c r="R412" s="183"/>
    </row>
    <row r="413">
      <c r="D413" s="73"/>
      <c r="E413" s="285"/>
      <c r="F413" s="73"/>
      <c r="G413" s="286"/>
      <c r="H413" s="27"/>
      <c r="J413" s="389"/>
      <c r="Q413" s="5"/>
      <c r="R413" s="183"/>
    </row>
    <row r="414">
      <c r="D414" s="73"/>
      <c r="E414" s="285"/>
      <c r="F414" s="73"/>
      <c r="G414" s="286"/>
      <c r="H414" s="27"/>
      <c r="J414" s="389"/>
      <c r="Q414" s="5"/>
      <c r="R414" s="183"/>
    </row>
    <row r="415">
      <c r="D415" s="73"/>
      <c r="E415" s="285"/>
      <c r="F415" s="73"/>
      <c r="G415" s="286"/>
      <c r="H415" s="27"/>
      <c r="J415" s="389"/>
      <c r="Q415" s="5"/>
      <c r="R415" s="183"/>
    </row>
    <row r="416">
      <c r="D416" s="73"/>
      <c r="E416" s="285"/>
      <c r="F416" s="73"/>
      <c r="G416" s="286"/>
      <c r="H416" s="27"/>
      <c r="J416" s="389"/>
      <c r="Q416" s="5"/>
      <c r="R416" s="183"/>
    </row>
    <row r="417">
      <c r="D417" s="73"/>
      <c r="E417" s="285"/>
      <c r="F417" s="73"/>
      <c r="G417" s="286"/>
      <c r="H417" s="27"/>
      <c r="J417" s="389"/>
      <c r="Q417" s="5"/>
      <c r="R417" s="183"/>
    </row>
    <row r="418">
      <c r="D418" s="73"/>
      <c r="E418" s="285"/>
      <c r="F418" s="73"/>
      <c r="G418" s="286"/>
      <c r="H418" s="27"/>
      <c r="J418" s="389"/>
      <c r="Q418" s="5"/>
      <c r="R418" s="183"/>
    </row>
    <row r="419">
      <c r="D419" s="73"/>
      <c r="E419" s="285"/>
      <c r="F419" s="73"/>
      <c r="G419" s="286"/>
      <c r="H419" s="27"/>
      <c r="J419" s="389"/>
      <c r="Q419" s="5"/>
      <c r="R419" s="183"/>
    </row>
    <row r="420">
      <c r="D420" s="73"/>
      <c r="E420" s="285"/>
      <c r="F420" s="73"/>
      <c r="G420" s="286"/>
      <c r="H420" s="27"/>
      <c r="J420" s="389"/>
      <c r="Q420" s="5"/>
      <c r="R420" s="183"/>
    </row>
    <row r="421">
      <c r="D421" s="73"/>
      <c r="E421" s="285"/>
      <c r="F421" s="73"/>
      <c r="G421" s="286"/>
      <c r="H421" s="27"/>
      <c r="J421" s="389"/>
      <c r="Q421" s="5"/>
      <c r="R421" s="183"/>
    </row>
    <row r="422">
      <c r="D422" s="73"/>
      <c r="E422" s="285"/>
      <c r="F422" s="73"/>
      <c r="G422" s="286"/>
      <c r="H422" s="27"/>
      <c r="J422" s="389"/>
      <c r="Q422" s="5"/>
      <c r="R422" s="183"/>
    </row>
    <row r="423">
      <c r="D423" s="73"/>
      <c r="E423" s="285"/>
      <c r="F423" s="73"/>
      <c r="G423" s="286"/>
      <c r="H423" s="27"/>
      <c r="J423" s="389"/>
      <c r="Q423" s="5"/>
      <c r="R423" s="183"/>
    </row>
    <row r="424">
      <c r="D424" s="73"/>
      <c r="E424" s="285"/>
      <c r="F424" s="73"/>
      <c r="G424" s="286"/>
      <c r="H424" s="27"/>
      <c r="J424" s="389"/>
      <c r="Q424" s="5"/>
      <c r="R424" s="183"/>
    </row>
    <row r="425">
      <c r="D425" s="73"/>
      <c r="E425" s="285"/>
      <c r="F425" s="73"/>
      <c r="G425" s="286"/>
      <c r="H425" s="27"/>
      <c r="J425" s="389"/>
      <c r="Q425" s="5"/>
      <c r="R425" s="183"/>
    </row>
    <row r="426">
      <c r="D426" s="73"/>
      <c r="E426" s="285"/>
      <c r="F426" s="73"/>
      <c r="G426" s="286"/>
      <c r="H426" s="27"/>
      <c r="J426" s="389"/>
      <c r="Q426" s="5"/>
      <c r="R426" s="183"/>
    </row>
    <row r="427">
      <c r="D427" s="73"/>
      <c r="E427" s="285"/>
      <c r="F427" s="73"/>
      <c r="G427" s="286"/>
      <c r="H427" s="27"/>
      <c r="J427" s="389"/>
      <c r="Q427" s="5"/>
      <c r="R427" s="183"/>
    </row>
    <row r="428">
      <c r="D428" s="73"/>
      <c r="E428" s="285"/>
      <c r="F428" s="73"/>
      <c r="G428" s="286"/>
      <c r="H428" s="27"/>
      <c r="J428" s="389"/>
      <c r="Q428" s="5"/>
      <c r="R428" s="183"/>
    </row>
    <row r="429">
      <c r="D429" s="73"/>
      <c r="E429" s="285"/>
      <c r="F429" s="73"/>
      <c r="G429" s="286"/>
      <c r="H429" s="27"/>
      <c r="J429" s="389"/>
      <c r="Q429" s="5"/>
      <c r="R429" s="183"/>
    </row>
    <row r="430">
      <c r="D430" s="73"/>
      <c r="E430" s="285"/>
      <c r="F430" s="73"/>
      <c r="G430" s="286"/>
      <c r="H430" s="27"/>
      <c r="J430" s="389"/>
      <c r="Q430" s="5"/>
      <c r="R430" s="183"/>
    </row>
    <row r="431">
      <c r="D431" s="73"/>
      <c r="E431" s="285"/>
      <c r="F431" s="73"/>
      <c r="G431" s="286"/>
      <c r="H431" s="27"/>
      <c r="J431" s="389"/>
      <c r="Q431" s="5"/>
      <c r="R431" s="183"/>
    </row>
    <row r="432">
      <c r="D432" s="73"/>
      <c r="E432" s="285"/>
      <c r="F432" s="73"/>
      <c r="G432" s="286"/>
      <c r="H432" s="27"/>
      <c r="J432" s="389"/>
      <c r="Q432" s="5"/>
      <c r="R432" s="183"/>
    </row>
    <row r="433">
      <c r="D433" s="73"/>
      <c r="E433" s="285"/>
      <c r="F433" s="73"/>
      <c r="G433" s="286"/>
      <c r="H433" s="27"/>
      <c r="J433" s="389"/>
      <c r="Q433" s="5"/>
      <c r="R433" s="183"/>
    </row>
    <row r="434">
      <c r="D434" s="73"/>
      <c r="E434" s="285"/>
      <c r="F434" s="73"/>
      <c r="G434" s="286"/>
      <c r="H434" s="27"/>
      <c r="J434" s="389"/>
      <c r="Q434" s="5"/>
      <c r="R434" s="183"/>
    </row>
    <row r="435">
      <c r="D435" s="73"/>
      <c r="E435" s="285"/>
      <c r="F435" s="73"/>
      <c r="G435" s="286"/>
      <c r="H435" s="27"/>
      <c r="J435" s="389"/>
      <c r="Q435" s="5"/>
      <c r="R435" s="183"/>
    </row>
    <row r="436">
      <c r="D436" s="73"/>
      <c r="E436" s="285"/>
      <c r="F436" s="73"/>
      <c r="G436" s="286"/>
      <c r="H436" s="27"/>
      <c r="J436" s="389"/>
      <c r="Q436" s="5"/>
      <c r="R436" s="183"/>
    </row>
    <row r="437">
      <c r="D437" s="73"/>
      <c r="E437" s="285"/>
      <c r="F437" s="73"/>
      <c r="G437" s="286"/>
      <c r="H437" s="27"/>
      <c r="J437" s="389"/>
      <c r="Q437" s="5"/>
      <c r="R437" s="183"/>
    </row>
    <row r="438">
      <c r="D438" s="73"/>
      <c r="E438" s="285"/>
      <c r="F438" s="73"/>
      <c r="G438" s="286"/>
      <c r="H438" s="27"/>
      <c r="J438" s="389"/>
      <c r="Q438" s="5"/>
      <c r="R438" s="183"/>
    </row>
    <row r="439">
      <c r="D439" s="73"/>
      <c r="E439" s="285"/>
      <c r="F439" s="73"/>
      <c r="G439" s="286"/>
      <c r="H439" s="27"/>
      <c r="J439" s="389"/>
      <c r="Q439" s="5"/>
      <c r="R439" s="183"/>
    </row>
    <row r="440">
      <c r="D440" s="73"/>
      <c r="E440" s="285"/>
      <c r="F440" s="73"/>
      <c r="G440" s="286"/>
      <c r="H440" s="27"/>
      <c r="J440" s="389"/>
      <c r="Q440" s="5"/>
      <c r="R440" s="183"/>
    </row>
    <row r="441">
      <c r="D441" s="73"/>
      <c r="E441" s="285"/>
      <c r="F441" s="73"/>
      <c r="G441" s="286"/>
      <c r="H441" s="27"/>
      <c r="J441" s="389"/>
      <c r="Q441" s="5"/>
      <c r="R441" s="183"/>
    </row>
    <row r="442">
      <c r="D442" s="73"/>
      <c r="E442" s="285"/>
      <c r="F442" s="73"/>
      <c r="G442" s="286"/>
      <c r="H442" s="27"/>
      <c r="J442" s="389"/>
      <c r="Q442" s="5"/>
      <c r="R442" s="183"/>
    </row>
    <row r="443">
      <c r="D443" s="73"/>
      <c r="E443" s="285"/>
      <c r="F443" s="73"/>
      <c r="G443" s="286"/>
      <c r="H443" s="27"/>
      <c r="J443" s="389"/>
      <c r="Q443" s="5"/>
      <c r="R443" s="183"/>
    </row>
    <row r="444">
      <c r="D444" s="73"/>
      <c r="E444" s="285"/>
      <c r="F444" s="73"/>
      <c r="G444" s="286"/>
      <c r="H444" s="27"/>
      <c r="J444" s="389"/>
      <c r="Q444" s="5"/>
      <c r="R444" s="183"/>
    </row>
    <row r="445">
      <c r="D445" s="73"/>
      <c r="E445" s="285"/>
      <c r="F445" s="73"/>
      <c r="G445" s="286"/>
      <c r="H445" s="27"/>
      <c r="J445" s="389"/>
      <c r="Q445" s="5"/>
      <c r="R445" s="183"/>
    </row>
    <row r="446">
      <c r="D446" s="73"/>
      <c r="E446" s="285"/>
      <c r="F446" s="73"/>
      <c r="G446" s="286"/>
      <c r="H446" s="27"/>
      <c r="J446" s="389"/>
      <c r="Q446" s="5"/>
      <c r="R446" s="183"/>
    </row>
    <row r="447">
      <c r="D447" s="73"/>
      <c r="E447" s="285"/>
      <c r="F447" s="73"/>
      <c r="G447" s="286"/>
      <c r="H447" s="27"/>
      <c r="J447" s="389"/>
      <c r="Q447" s="5"/>
      <c r="R447" s="183"/>
    </row>
    <row r="448">
      <c r="D448" s="73"/>
      <c r="E448" s="285"/>
      <c r="F448" s="73"/>
      <c r="G448" s="286"/>
      <c r="H448" s="27"/>
      <c r="J448" s="389"/>
      <c r="Q448" s="5"/>
      <c r="R448" s="183"/>
    </row>
    <row r="449">
      <c r="D449" s="73"/>
      <c r="E449" s="285"/>
      <c r="F449" s="73"/>
      <c r="G449" s="286"/>
      <c r="H449" s="27"/>
      <c r="J449" s="389"/>
      <c r="Q449" s="5"/>
      <c r="R449" s="183"/>
    </row>
    <row r="450">
      <c r="D450" s="73"/>
      <c r="E450" s="285"/>
      <c r="F450" s="73"/>
      <c r="G450" s="286"/>
      <c r="H450" s="27"/>
      <c r="J450" s="389"/>
      <c r="Q450" s="5"/>
      <c r="R450" s="183"/>
    </row>
    <row r="451">
      <c r="D451" s="73"/>
      <c r="E451" s="285"/>
      <c r="F451" s="73"/>
      <c r="G451" s="286"/>
      <c r="H451" s="27"/>
      <c r="J451" s="389"/>
      <c r="Q451" s="5"/>
      <c r="R451" s="183"/>
    </row>
    <row r="452">
      <c r="D452" s="73"/>
      <c r="E452" s="285"/>
      <c r="F452" s="73"/>
      <c r="G452" s="286"/>
      <c r="H452" s="27"/>
      <c r="J452" s="389"/>
      <c r="Q452" s="5"/>
      <c r="R452" s="183"/>
    </row>
    <row r="453">
      <c r="D453" s="73"/>
      <c r="E453" s="285"/>
      <c r="F453" s="73"/>
      <c r="G453" s="286"/>
      <c r="H453" s="27"/>
      <c r="J453" s="389"/>
      <c r="Q453" s="5"/>
      <c r="R453" s="183"/>
    </row>
    <row r="454">
      <c r="D454" s="73"/>
      <c r="E454" s="285"/>
      <c r="F454" s="73"/>
      <c r="G454" s="286"/>
      <c r="H454" s="27"/>
      <c r="J454" s="389"/>
      <c r="Q454" s="5"/>
      <c r="R454" s="183"/>
    </row>
    <row r="455">
      <c r="D455" s="73"/>
      <c r="E455" s="285"/>
      <c r="F455" s="73"/>
      <c r="G455" s="286"/>
      <c r="H455" s="27"/>
      <c r="J455" s="389"/>
      <c r="Q455" s="5"/>
      <c r="R455" s="183"/>
    </row>
    <row r="456">
      <c r="D456" s="73"/>
      <c r="E456" s="285"/>
      <c r="F456" s="73"/>
      <c r="G456" s="286"/>
      <c r="H456" s="27"/>
      <c r="J456" s="389"/>
      <c r="Q456" s="5"/>
      <c r="R456" s="183"/>
    </row>
    <row r="457">
      <c r="D457" s="73"/>
      <c r="E457" s="285"/>
      <c r="F457" s="73"/>
      <c r="G457" s="286"/>
      <c r="H457" s="27"/>
      <c r="J457" s="389"/>
      <c r="Q457" s="5"/>
      <c r="R457" s="183"/>
    </row>
    <row r="458">
      <c r="D458" s="73"/>
      <c r="E458" s="285"/>
      <c r="F458" s="73"/>
      <c r="G458" s="286"/>
      <c r="H458" s="27"/>
      <c r="J458" s="389"/>
      <c r="Q458" s="5"/>
      <c r="R458" s="183"/>
    </row>
    <row r="459">
      <c r="D459" s="73"/>
      <c r="E459" s="285"/>
      <c r="F459" s="73"/>
      <c r="G459" s="286"/>
      <c r="H459" s="27"/>
      <c r="J459" s="389"/>
      <c r="Q459" s="5"/>
      <c r="R459" s="183"/>
    </row>
    <row r="460">
      <c r="D460" s="73"/>
      <c r="E460" s="285"/>
      <c r="F460" s="73"/>
      <c r="G460" s="286"/>
      <c r="H460" s="27"/>
      <c r="J460" s="389"/>
      <c r="Q460" s="5"/>
      <c r="R460" s="183"/>
    </row>
    <row r="461">
      <c r="D461" s="73"/>
      <c r="E461" s="285"/>
      <c r="F461" s="73"/>
      <c r="G461" s="286"/>
      <c r="H461" s="27"/>
      <c r="J461" s="389"/>
      <c r="Q461" s="5"/>
      <c r="R461" s="183"/>
    </row>
    <row r="462">
      <c r="D462" s="73"/>
      <c r="E462" s="285"/>
      <c r="F462" s="73"/>
      <c r="G462" s="286"/>
      <c r="H462" s="27"/>
      <c r="J462" s="389"/>
      <c r="Q462" s="5"/>
      <c r="R462" s="183"/>
    </row>
    <row r="463">
      <c r="D463" s="73"/>
      <c r="E463" s="285"/>
      <c r="F463" s="73"/>
      <c r="G463" s="286"/>
      <c r="H463" s="27"/>
      <c r="J463" s="389"/>
      <c r="Q463" s="5"/>
      <c r="R463" s="183"/>
    </row>
    <row r="464">
      <c r="D464" s="73"/>
      <c r="E464" s="285"/>
      <c r="F464" s="73"/>
      <c r="G464" s="286"/>
      <c r="H464" s="27"/>
      <c r="J464" s="389"/>
      <c r="Q464" s="5"/>
      <c r="R464" s="183"/>
    </row>
    <row r="465">
      <c r="D465" s="73"/>
      <c r="E465" s="285"/>
      <c r="F465" s="73"/>
      <c r="G465" s="286"/>
      <c r="H465" s="27"/>
      <c r="J465" s="389"/>
      <c r="Q465" s="5"/>
      <c r="R465" s="183"/>
    </row>
    <row r="466">
      <c r="D466" s="73"/>
      <c r="E466" s="285"/>
      <c r="F466" s="73"/>
      <c r="G466" s="286"/>
      <c r="H466" s="27"/>
      <c r="J466" s="389"/>
      <c r="Q466" s="5"/>
      <c r="R466" s="183"/>
    </row>
    <row r="467">
      <c r="D467" s="73"/>
      <c r="E467" s="285"/>
      <c r="F467" s="73"/>
      <c r="G467" s="286"/>
      <c r="H467" s="27"/>
      <c r="J467" s="389"/>
      <c r="Q467" s="5"/>
      <c r="R467" s="183"/>
    </row>
    <row r="468">
      <c r="D468" s="73"/>
      <c r="E468" s="285"/>
      <c r="F468" s="73"/>
      <c r="G468" s="286"/>
      <c r="H468" s="27"/>
      <c r="J468" s="389"/>
      <c r="Q468" s="5"/>
      <c r="R468" s="183"/>
    </row>
    <row r="469">
      <c r="D469" s="73"/>
      <c r="E469" s="285"/>
      <c r="F469" s="73"/>
      <c r="G469" s="286"/>
      <c r="H469" s="27"/>
      <c r="J469" s="389"/>
      <c r="Q469" s="5"/>
      <c r="R469" s="183"/>
    </row>
    <row r="470">
      <c r="D470" s="73"/>
      <c r="E470" s="285"/>
      <c r="F470" s="73"/>
      <c r="G470" s="286"/>
      <c r="H470" s="27"/>
      <c r="J470" s="389"/>
      <c r="Q470" s="5"/>
      <c r="R470" s="183"/>
    </row>
    <row r="471">
      <c r="D471" s="73"/>
      <c r="E471" s="285"/>
      <c r="F471" s="73"/>
      <c r="G471" s="286"/>
      <c r="H471" s="27"/>
      <c r="J471" s="389"/>
      <c r="Q471" s="5"/>
      <c r="R471" s="183"/>
    </row>
    <row r="472">
      <c r="D472" s="73"/>
      <c r="E472" s="285"/>
      <c r="F472" s="73"/>
      <c r="G472" s="286"/>
      <c r="H472" s="27"/>
      <c r="J472" s="389"/>
      <c r="Q472" s="5"/>
      <c r="R472" s="183"/>
    </row>
    <row r="473">
      <c r="D473" s="73"/>
      <c r="E473" s="285"/>
      <c r="F473" s="73"/>
      <c r="G473" s="286"/>
      <c r="H473" s="27"/>
      <c r="J473" s="389"/>
      <c r="Q473" s="5"/>
      <c r="R473" s="183"/>
    </row>
    <row r="474">
      <c r="D474" s="73"/>
      <c r="E474" s="285"/>
      <c r="F474" s="73"/>
      <c r="G474" s="286"/>
      <c r="H474" s="27"/>
      <c r="J474" s="389"/>
      <c r="Q474" s="5"/>
      <c r="R474" s="183"/>
    </row>
    <row r="475">
      <c r="D475" s="73"/>
      <c r="E475" s="285"/>
      <c r="F475" s="73"/>
      <c r="G475" s="286"/>
      <c r="H475" s="27"/>
      <c r="J475" s="389"/>
      <c r="Q475" s="5"/>
      <c r="R475" s="183"/>
    </row>
    <row r="476">
      <c r="D476" s="73"/>
      <c r="E476" s="285"/>
      <c r="F476" s="73"/>
      <c r="G476" s="286"/>
      <c r="H476" s="27"/>
      <c r="J476" s="389"/>
      <c r="Q476" s="5"/>
      <c r="R476" s="183"/>
    </row>
    <row r="477">
      <c r="D477" s="73"/>
      <c r="E477" s="285"/>
      <c r="F477" s="73"/>
      <c r="G477" s="286"/>
      <c r="H477" s="27"/>
      <c r="J477" s="389"/>
      <c r="Q477" s="5"/>
      <c r="R477" s="183"/>
    </row>
    <row r="478">
      <c r="D478" s="73"/>
      <c r="E478" s="285"/>
      <c r="F478" s="73"/>
      <c r="G478" s="286"/>
      <c r="H478" s="27"/>
      <c r="J478" s="389"/>
      <c r="Q478" s="5"/>
      <c r="R478" s="183"/>
    </row>
    <row r="479">
      <c r="D479" s="73"/>
      <c r="E479" s="285"/>
      <c r="F479" s="73"/>
      <c r="G479" s="286"/>
      <c r="H479" s="27"/>
      <c r="J479" s="389"/>
      <c r="Q479" s="5"/>
      <c r="R479" s="183"/>
    </row>
    <row r="480">
      <c r="D480" s="73"/>
      <c r="E480" s="285"/>
      <c r="F480" s="73"/>
      <c r="G480" s="286"/>
      <c r="H480" s="27"/>
      <c r="J480" s="389"/>
      <c r="Q480" s="5"/>
      <c r="R480" s="183"/>
    </row>
    <row r="481">
      <c r="D481" s="73"/>
      <c r="E481" s="285"/>
      <c r="F481" s="73"/>
      <c r="G481" s="286"/>
      <c r="H481" s="27"/>
      <c r="J481" s="389"/>
      <c r="Q481" s="5"/>
      <c r="R481" s="183"/>
    </row>
    <row r="482">
      <c r="D482" s="73"/>
      <c r="E482" s="285"/>
      <c r="F482" s="73"/>
      <c r="G482" s="286"/>
      <c r="H482" s="27"/>
      <c r="J482" s="389"/>
      <c r="Q482" s="5"/>
      <c r="R482" s="183"/>
    </row>
    <row r="483">
      <c r="D483" s="73"/>
      <c r="E483" s="285"/>
      <c r="F483" s="73"/>
      <c r="G483" s="286"/>
      <c r="H483" s="27"/>
      <c r="J483" s="389"/>
      <c r="Q483" s="5"/>
      <c r="R483" s="183"/>
    </row>
    <row r="484">
      <c r="D484" s="73"/>
      <c r="E484" s="285"/>
      <c r="F484" s="73"/>
      <c r="G484" s="286"/>
      <c r="H484" s="27"/>
      <c r="J484" s="389"/>
      <c r="Q484" s="5"/>
      <c r="R484" s="183"/>
    </row>
    <row r="485">
      <c r="D485" s="73"/>
      <c r="E485" s="285"/>
      <c r="F485" s="73"/>
      <c r="G485" s="286"/>
      <c r="H485" s="27"/>
      <c r="J485" s="389"/>
      <c r="Q485" s="5"/>
      <c r="R485" s="183"/>
    </row>
    <row r="486">
      <c r="D486" s="73"/>
      <c r="E486" s="285"/>
      <c r="F486" s="73"/>
      <c r="G486" s="286"/>
      <c r="H486" s="27"/>
      <c r="J486" s="389"/>
      <c r="Q486" s="5"/>
      <c r="R486" s="183"/>
    </row>
    <row r="487">
      <c r="D487" s="73"/>
      <c r="E487" s="285"/>
      <c r="F487" s="73"/>
      <c r="G487" s="286"/>
      <c r="H487" s="27"/>
      <c r="J487" s="389"/>
      <c r="Q487" s="5"/>
      <c r="R487" s="183"/>
    </row>
    <row r="488">
      <c r="D488" s="73"/>
      <c r="E488" s="285"/>
      <c r="F488" s="73"/>
      <c r="G488" s="286"/>
      <c r="H488" s="27"/>
      <c r="J488" s="389"/>
      <c r="Q488" s="5"/>
      <c r="R488" s="183"/>
    </row>
    <row r="489">
      <c r="D489" s="73"/>
      <c r="E489" s="285"/>
      <c r="F489" s="73"/>
      <c r="G489" s="286"/>
      <c r="H489" s="27"/>
      <c r="J489" s="389"/>
      <c r="Q489" s="5"/>
      <c r="R489" s="183"/>
    </row>
    <row r="490">
      <c r="D490" s="73"/>
      <c r="E490" s="285"/>
      <c r="F490" s="73"/>
      <c r="G490" s="286"/>
      <c r="H490" s="27"/>
      <c r="J490" s="389"/>
      <c r="Q490" s="5"/>
      <c r="R490" s="183"/>
    </row>
    <row r="491">
      <c r="D491" s="73"/>
      <c r="E491" s="285"/>
      <c r="F491" s="73"/>
      <c r="G491" s="286"/>
      <c r="H491" s="27"/>
      <c r="J491" s="389"/>
      <c r="Q491" s="5"/>
      <c r="R491" s="183"/>
    </row>
    <row r="492">
      <c r="D492" s="73"/>
      <c r="E492" s="285"/>
      <c r="F492" s="73"/>
      <c r="G492" s="286"/>
      <c r="H492" s="27"/>
      <c r="J492" s="389"/>
      <c r="Q492" s="5"/>
      <c r="R492" s="183"/>
    </row>
    <row r="493">
      <c r="D493" s="73"/>
      <c r="E493" s="285"/>
      <c r="F493" s="73"/>
      <c r="G493" s="286"/>
      <c r="H493" s="27"/>
      <c r="J493" s="389"/>
      <c r="Q493" s="5"/>
      <c r="R493" s="183"/>
    </row>
    <row r="494">
      <c r="D494" s="73"/>
      <c r="E494" s="285"/>
      <c r="F494" s="73"/>
      <c r="G494" s="286"/>
      <c r="H494" s="27"/>
      <c r="J494" s="389"/>
      <c r="Q494" s="5"/>
      <c r="R494" s="183"/>
    </row>
    <row r="495">
      <c r="D495" s="73"/>
      <c r="E495" s="285"/>
      <c r="F495" s="73"/>
      <c r="G495" s="286"/>
      <c r="H495" s="27"/>
      <c r="J495" s="389"/>
      <c r="Q495" s="5"/>
      <c r="R495" s="183"/>
    </row>
    <row r="496">
      <c r="D496" s="73"/>
      <c r="E496" s="285"/>
      <c r="F496" s="73"/>
      <c r="G496" s="286"/>
      <c r="H496" s="27"/>
      <c r="J496" s="389"/>
      <c r="Q496" s="5"/>
      <c r="R496" s="183"/>
    </row>
    <row r="497">
      <c r="D497" s="73"/>
      <c r="E497" s="285"/>
      <c r="F497" s="73"/>
      <c r="G497" s="286"/>
      <c r="H497" s="27"/>
      <c r="J497" s="389"/>
      <c r="Q497" s="5"/>
      <c r="R497" s="183"/>
    </row>
    <row r="498">
      <c r="D498" s="73"/>
      <c r="E498" s="285"/>
      <c r="F498" s="73"/>
      <c r="G498" s="286"/>
      <c r="H498" s="27"/>
      <c r="J498" s="389"/>
      <c r="Q498" s="5"/>
      <c r="R498" s="183"/>
    </row>
    <row r="499">
      <c r="D499" s="73"/>
      <c r="E499" s="285"/>
      <c r="F499" s="73"/>
      <c r="G499" s="286"/>
      <c r="H499" s="27"/>
      <c r="J499" s="389"/>
      <c r="Q499" s="5"/>
      <c r="R499" s="183"/>
    </row>
    <row r="500">
      <c r="D500" s="73"/>
      <c r="E500" s="285"/>
      <c r="F500" s="73"/>
      <c r="G500" s="286"/>
      <c r="H500" s="27"/>
      <c r="J500" s="389"/>
      <c r="Q500" s="5"/>
      <c r="R500" s="183"/>
    </row>
    <row r="501">
      <c r="D501" s="73"/>
      <c r="E501" s="285"/>
      <c r="F501" s="73"/>
      <c r="G501" s="286"/>
      <c r="H501" s="27"/>
      <c r="J501" s="389"/>
      <c r="Q501" s="5"/>
      <c r="R501" s="183"/>
    </row>
    <row r="502">
      <c r="D502" s="73"/>
      <c r="E502" s="285"/>
      <c r="F502" s="73"/>
      <c r="G502" s="286"/>
      <c r="H502" s="27"/>
      <c r="J502" s="389"/>
      <c r="Q502" s="5"/>
      <c r="R502" s="183"/>
    </row>
    <row r="503">
      <c r="D503" s="73"/>
      <c r="E503" s="285"/>
      <c r="F503" s="73"/>
      <c r="G503" s="286"/>
      <c r="H503" s="27"/>
      <c r="J503" s="389"/>
      <c r="Q503" s="5"/>
      <c r="R503" s="183"/>
    </row>
    <row r="504">
      <c r="D504" s="73"/>
      <c r="E504" s="285"/>
      <c r="F504" s="73"/>
      <c r="G504" s="286"/>
      <c r="H504" s="27"/>
      <c r="J504" s="389"/>
      <c r="Q504" s="5"/>
      <c r="R504" s="183"/>
    </row>
    <row r="505">
      <c r="D505" s="73"/>
      <c r="E505" s="285"/>
      <c r="F505" s="73"/>
      <c r="G505" s="286"/>
      <c r="H505" s="27"/>
      <c r="J505" s="389"/>
      <c r="Q505" s="5"/>
      <c r="R505" s="183"/>
    </row>
    <row r="506">
      <c r="D506" s="73"/>
      <c r="E506" s="285"/>
      <c r="F506" s="73"/>
      <c r="G506" s="286"/>
      <c r="H506" s="27"/>
      <c r="J506" s="389"/>
      <c r="Q506" s="5"/>
      <c r="R506" s="183"/>
    </row>
    <row r="507">
      <c r="D507" s="73"/>
      <c r="E507" s="285"/>
      <c r="F507" s="73"/>
      <c r="G507" s="286"/>
      <c r="H507" s="27"/>
      <c r="J507" s="389"/>
      <c r="Q507" s="5"/>
      <c r="R507" s="183"/>
    </row>
    <row r="508">
      <c r="D508" s="73"/>
      <c r="E508" s="285"/>
      <c r="F508" s="73"/>
      <c r="G508" s="286"/>
      <c r="H508" s="27"/>
      <c r="J508" s="389"/>
      <c r="Q508" s="5"/>
      <c r="R508" s="183"/>
    </row>
    <row r="509">
      <c r="D509" s="73"/>
      <c r="E509" s="285"/>
      <c r="F509" s="73"/>
      <c r="G509" s="286"/>
      <c r="H509" s="27"/>
      <c r="J509" s="389"/>
      <c r="Q509" s="5"/>
      <c r="R509" s="183"/>
    </row>
    <row r="510">
      <c r="D510" s="73"/>
      <c r="E510" s="285"/>
      <c r="F510" s="73"/>
      <c r="G510" s="286"/>
      <c r="H510" s="27"/>
      <c r="J510" s="389"/>
      <c r="Q510" s="5"/>
      <c r="R510" s="183"/>
    </row>
    <row r="511">
      <c r="D511" s="73"/>
      <c r="E511" s="285"/>
      <c r="F511" s="73"/>
      <c r="G511" s="286"/>
      <c r="H511" s="27"/>
      <c r="J511" s="389"/>
      <c r="Q511" s="5"/>
      <c r="R511" s="183"/>
    </row>
    <row r="512">
      <c r="D512" s="73"/>
      <c r="E512" s="285"/>
      <c r="F512" s="73"/>
      <c r="G512" s="286"/>
      <c r="H512" s="27"/>
      <c r="J512" s="389"/>
      <c r="Q512" s="5"/>
      <c r="R512" s="183"/>
    </row>
    <row r="513">
      <c r="D513" s="73"/>
      <c r="E513" s="285"/>
      <c r="F513" s="73"/>
      <c r="G513" s="286"/>
      <c r="H513" s="27"/>
      <c r="J513" s="389"/>
      <c r="Q513" s="5"/>
      <c r="R513" s="183"/>
    </row>
    <row r="514">
      <c r="D514" s="73"/>
      <c r="E514" s="285"/>
      <c r="F514" s="73"/>
      <c r="G514" s="286"/>
      <c r="H514" s="27"/>
      <c r="J514" s="389"/>
      <c r="Q514" s="5"/>
      <c r="R514" s="183"/>
    </row>
    <row r="515">
      <c r="D515" s="73"/>
      <c r="E515" s="285"/>
      <c r="F515" s="73"/>
      <c r="G515" s="286"/>
      <c r="H515" s="27"/>
      <c r="J515" s="389"/>
      <c r="Q515" s="5"/>
      <c r="R515" s="183"/>
    </row>
    <row r="516">
      <c r="D516" s="73"/>
      <c r="E516" s="285"/>
      <c r="F516" s="73"/>
      <c r="G516" s="286"/>
      <c r="H516" s="27"/>
      <c r="J516" s="389"/>
      <c r="Q516" s="5"/>
      <c r="R516" s="183"/>
    </row>
    <row r="517">
      <c r="D517" s="73"/>
      <c r="E517" s="285"/>
      <c r="F517" s="73"/>
      <c r="G517" s="286"/>
      <c r="H517" s="27"/>
      <c r="J517" s="389"/>
      <c r="Q517" s="5"/>
      <c r="R517" s="183"/>
    </row>
    <row r="518">
      <c r="D518" s="73"/>
      <c r="E518" s="285"/>
      <c r="F518" s="73"/>
      <c r="G518" s="286"/>
      <c r="H518" s="27"/>
      <c r="J518" s="389"/>
      <c r="Q518" s="5"/>
      <c r="R518" s="183"/>
    </row>
    <row r="519">
      <c r="D519" s="73"/>
      <c r="E519" s="285"/>
      <c r="F519" s="73"/>
      <c r="G519" s="286"/>
      <c r="H519" s="27"/>
      <c r="J519" s="389"/>
      <c r="Q519" s="5"/>
      <c r="R519" s="183"/>
    </row>
    <row r="520">
      <c r="D520" s="73"/>
      <c r="E520" s="285"/>
      <c r="F520" s="73"/>
      <c r="G520" s="286"/>
      <c r="H520" s="27"/>
      <c r="J520" s="389"/>
      <c r="Q520" s="5"/>
      <c r="R520" s="183"/>
    </row>
    <row r="521">
      <c r="D521" s="73"/>
      <c r="E521" s="285"/>
      <c r="F521" s="73"/>
      <c r="G521" s="286"/>
      <c r="H521" s="27"/>
      <c r="J521" s="389"/>
      <c r="Q521" s="5"/>
      <c r="R521" s="183"/>
    </row>
    <row r="522">
      <c r="D522" s="73"/>
      <c r="E522" s="285"/>
      <c r="F522" s="73"/>
      <c r="G522" s="286"/>
      <c r="H522" s="27"/>
      <c r="J522" s="389"/>
      <c r="Q522" s="5"/>
      <c r="R522" s="183"/>
    </row>
    <row r="523">
      <c r="D523" s="73"/>
      <c r="E523" s="285"/>
      <c r="F523" s="73"/>
      <c r="G523" s="286"/>
      <c r="H523" s="27"/>
      <c r="J523" s="389"/>
      <c r="Q523" s="5"/>
      <c r="R523" s="183"/>
    </row>
    <row r="524">
      <c r="D524" s="73"/>
      <c r="E524" s="285"/>
      <c r="F524" s="73"/>
      <c r="G524" s="286"/>
      <c r="H524" s="27"/>
      <c r="J524" s="389"/>
      <c r="Q524" s="5"/>
      <c r="R524" s="183"/>
    </row>
    <row r="525">
      <c r="D525" s="73"/>
      <c r="E525" s="285"/>
      <c r="F525" s="73"/>
      <c r="G525" s="286"/>
      <c r="H525" s="27"/>
      <c r="J525" s="389"/>
      <c r="Q525" s="5"/>
      <c r="R525" s="183"/>
    </row>
    <row r="526">
      <c r="D526" s="73"/>
      <c r="E526" s="285"/>
      <c r="F526" s="73"/>
      <c r="G526" s="286"/>
      <c r="H526" s="27"/>
      <c r="J526" s="389"/>
      <c r="Q526" s="5"/>
      <c r="R526" s="183"/>
    </row>
    <row r="527">
      <c r="D527" s="73"/>
      <c r="E527" s="285"/>
      <c r="F527" s="73"/>
      <c r="G527" s="286"/>
      <c r="H527" s="27"/>
      <c r="J527" s="389"/>
      <c r="Q527" s="5"/>
      <c r="R527" s="183"/>
    </row>
    <row r="528">
      <c r="D528" s="73"/>
      <c r="E528" s="285"/>
      <c r="F528" s="73"/>
      <c r="G528" s="286"/>
      <c r="H528" s="27"/>
      <c r="J528" s="389"/>
      <c r="Q528" s="5"/>
      <c r="R528" s="183"/>
    </row>
    <row r="529">
      <c r="D529" s="73"/>
      <c r="E529" s="285"/>
      <c r="F529" s="73"/>
      <c r="G529" s="286"/>
      <c r="H529" s="27"/>
      <c r="J529" s="389"/>
      <c r="Q529" s="5"/>
      <c r="R529" s="183"/>
    </row>
    <row r="530">
      <c r="D530" s="73"/>
      <c r="E530" s="285"/>
      <c r="F530" s="73"/>
      <c r="G530" s="286"/>
      <c r="H530" s="27"/>
      <c r="J530" s="389"/>
      <c r="Q530" s="5"/>
      <c r="R530" s="183"/>
    </row>
    <row r="531">
      <c r="D531" s="73"/>
      <c r="E531" s="285"/>
      <c r="F531" s="73"/>
      <c r="G531" s="286"/>
      <c r="H531" s="27"/>
      <c r="J531" s="389"/>
      <c r="Q531" s="5"/>
      <c r="R531" s="183"/>
    </row>
    <row r="532">
      <c r="D532" s="73"/>
      <c r="E532" s="285"/>
      <c r="F532" s="73"/>
      <c r="G532" s="286"/>
      <c r="H532" s="27"/>
      <c r="J532" s="389"/>
      <c r="Q532" s="5"/>
      <c r="R532" s="183"/>
    </row>
    <row r="533">
      <c r="D533" s="73"/>
      <c r="E533" s="285"/>
      <c r="F533" s="73"/>
      <c r="G533" s="286"/>
      <c r="H533" s="27"/>
      <c r="J533" s="389"/>
      <c r="Q533" s="5"/>
      <c r="R533" s="183"/>
    </row>
    <row r="534">
      <c r="D534" s="73"/>
      <c r="E534" s="285"/>
      <c r="F534" s="73"/>
      <c r="G534" s="286"/>
      <c r="H534" s="27"/>
      <c r="J534" s="389"/>
      <c r="Q534" s="5"/>
      <c r="R534" s="183"/>
    </row>
    <row r="535">
      <c r="D535" s="73"/>
      <c r="E535" s="285"/>
      <c r="F535" s="73"/>
      <c r="G535" s="286"/>
      <c r="H535" s="27"/>
      <c r="J535" s="389"/>
      <c r="Q535" s="5"/>
      <c r="R535" s="183"/>
    </row>
    <row r="536">
      <c r="D536" s="73"/>
      <c r="E536" s="285"/>
      <c r="F536" s="73"/>
      <c r="G536" s="286"/>
      <c r="H536" s="27"/>
      <c r="J536" s="389"/>
      <c r="Q536" s="5"/>
      <c r="R536" s="183"/>
    </row>
    <row r="537">
      <c r="D537" s="73"/>
      <c r="E537" s="285"/>
      <c r="F537" s="73"/>
      <c r="G537" s="286"/>
      <c r="H537" s="27"/>
      <c r="J537" s="389"/>
      <c r="Q537" s="5"/>
      <c r="R537" s="183"/>
    </row>
    <row r="538">
      <c r="D538" s="73"/>
      <c r="E538" s="285"/>
      <c r="F538" s="73"/>
      <c r="G538" s="286"/>
      <c r="H538" s="27"/>
      <c r="J538" s="389"/>
      <c r="Q538" s="5"/>
      <c r="R538" s="183"/>
    </row>
    <row r="539">
      <c r="D539" s="73"/>
      <c r="E539" s="285"/>
      <c r="F539" s="73"/>
      <c r="G539" s="286"/>
      <c r="H539" s="27"/>
      <c r="J539" s="389"/>
      <c r="Q539" s="5"/>
      <c r="R539" s="183"/>
    </row>
    <row r="540">
      <c r="D540" s="73"/>
      <c r="E540" s="285"/>
      <c r="F540" s="73"/>
      <c r="G540" s="286"/>
      <c r="H540" s="27"/>
      <c r="J540" s="389"/>
      <c r="Q540" s="5"/>
      <c r="R540" s="183"/>
    </row>
    <row r="541">
      <c r="D541" s="73"/>
      <c r="E541" s="285"/>
      <c r="F541" s="73"/>
      <c r="G541" s="286"/>
      <c r="H541" s="27"/>
      <c r="J541" s="389"/>
      <c r="Q541" s="5"/>
      <c r="R541" s="183"/>
    </row>
    <row r="542">
      <c r="D542" s="73"/>
      <c r="E542" s="285"/>
      <c r="F542" s="73"/>
      <c r="G542" s="286"/>
      <c r="H542" s="27"/>
      <c r="J542" s="389"/>
      <c r="Q542" s="5"/>
      <c r="R542" s="183"/>
    </row>
    <row r="543">
      <c r="D543" s="73"/>
      <c r="E543" s="285"/>
      <c r="F543" s="73"/>
      <c r="G543" s="286"/>
      <c r="H543" s="27"/>
      <c r="J543" s="389"/>
      <c r="Q543" s="5"/>
      <c r="R543" s="183"/>
    </row>
    <row r="544">
      <c r="D544" s="73"/>
      <c r="E544" s="285"/>
      <c r="F544" s="73"/>
      <c r="G544" s="286"/>
      <c r="H544" s="27"/>
      <c r="J544" s="389"/>
      <c r="Q544" s="5"/>
      <c r="R544" s="183"/>
    </row>
    <row r="545">
      <c r="D545" s="73"/>
      <c r="E545" s="285"/>
      <c r="F545" s="73"/>
      <c r="G545" s="286"/>
      <c r="H545" s="27"/>
      <c r="J545" s="389"/>
      <c r="Q545" s="5"/>
      <c r="R545" s="183"/>
    </row>
    <row r="546">
      <c r="D546" s="73"/>
      <c r="E546" s="285"/>
      <c r="F546" s="73"/>
      <c r="G546" s="286"/>
      <c r="H546" s="27"/>
      <c r="J546" s="389"/>
      <c r="Q546" s="5"/>
      <c r="R546" s="183"/>
    </row>
    <row r="547">
      <c r="D547" s="73"/>
      <c r="E547" s="285"/>
      <c r="F547" s="73"/>
      <c r="G547" s="286"/>
      <c r="H547" s="27"/>
      <c r="J547" s="389"/>
      <c r="Q547" s="5"/>
      <c r="R547" s="183"/>
    </row>
    <row r="548">
      <c r="D548" s="73"/>
      <c r="E548" s="285"/>
      <c r="F548" s="73"/>
      <c r="G548" s="286"/>
      <c r="H548" s="27"/>
      <c r="J548" s="389"/>
      <c r="Q548" s="5"/>
      <c r="R548" s="183"/>
    </row>
    <row r="549">
      <c r="D549" s="73"/>
      <c r="E549" s="285"/>
      <c r="F549" s="73"/>
      <c r="G549" s="286"/>
      <c r="H549" s="27"/>
      <c r="J549" s="389"/>
      <c r="Q549" s="5"/>
      <c r="R549" s="183"/>
    </row>
    <row r="550">
      <c r="D550" s="73"/>
      <c r="E550" s="285"/>
      <c r="F550" s="73"/>
      <c r="G550" s="286"/>
      <c r="H550" s="27"/>
      <c r="J550" s="389"/>
      <c r="Q550" s="5"/>
      <c r="R550" s="183"/>
    </row>
    <row r="551">
      <c r="D551" s="73"/>
      <c r="E551" s="285"/>
      <c r="F551" s="73"/>
      <c r="G551" s="286"/>
      <c r="H551" s="27"/>
      <c r="J551" s="389"/>
      <c r="Q551" s="5"/>
      <c r="R551" s="183"/>
    </row>
    <row r="552">
      <c r="D552" s="73"/>
      <c r="E552" s="285"/>
      <c r="F552" s="73"/>
      <c r="G552" s="286"/>
      <c r="H552" s="27"/>
      <c r="J552" s="389"/>
      <c r="Q552" s="5"/>
      <c r="R552" s="183"/>
    </row>
    <row r="553">
      <c r="D553" s="73"/>
      <c r="E553" s="285"/>
      <c r="F553" s="73"/>
      <c r="G553" s="286"/>
      <c r="H553" s="27"/>
      <c r="J553" s="389"/>
      <c r="Q553" s="5"/>
      <c r="R553" s="183"/>
    </row>
    <row r="554">
      <c r="D554" s="73"/>
      <c r="E554" s="285"/>
      <c r="F554" s="73"/>
      <c r="G554" s="286"/>
      <c r="H554" s="27"/>
      <c r="J554" s="389"/>
      <c r="Q554" s="5"/>
      <c r="R554" s="183"/>
    </row>
    <row r="555">
      <c r="D555" s="73"/>
      <c r="E555" s="285"/>
      <c r="F555" s="73"/>
      <c r="G555" s="286"/>
      <c r="H555" s="27"/>
      <c r="J555" s="389"/>
      <c r="Q555" s="5"/>
      <c r="R555" s="183"/>
    </row>
    <row r="556">
      <c r="D556" s="73"/>
      <c r="E556" s="285"/>
      <c r="F556" s="73"/>
      <c r="G556" s="286"/>
      <c r="H556" s="27"/>
      <c r="J556" s="389"/>
      <c r="Q556" s="5"/>
      <c r="R556" s="183"/>
    </row>
    <row r="557">
      <c r="D557" s="73"/>
      <c r="E557" s="285"/>
      <c r="F557" s="73"/>
      <c r="G557" s="286"/>
      <c r="H557" s="27"/>
      <c r="J557" s="389"/>
      <c r="Q557" s="5"/>
      <c r="R557" s="183"/>
    </row>
    <row r="558">
      <c r="D558" s="73"/>
      <c r="E558" s="285"/>
      <c r="F558" s="73"/>
      <c r="G558" s="286"/>
      <c r="H558" s="27"/>
      <c r="J558" s="389"/>
      <c r="Q558" s="5"/>
      <c r="R558" s="183"/>
    </row>
    <row r="559">
      <c r="D559" s="73"/>
      <c r="E559" s="285"/>
      <c r="F559" s="73"/>
      <c r="G559" s="286"/>
      <c r="H559" s="27"/>
      <c r="J559" s="389"/>
      <c r="Q559" s="5"/>
      <c r="R559" s="183"/>
    </row>
    <row r="560">
      <c r="D560" s="73"/>
      <c r="E560" s="285"/>
      <c r="F560" s="73"/>
      <c r="G560" s="286"/>
      <c r="H560" s="27"/>
      <c r="J560" s="389"/>
      <c r="Q560" s="5"/>
      <c r="R560" s="183"/>
    </row>
    <row r="561">
      <c r="D561" s="73"/>
      <c r="E561" s="285"/>
      <c r="F561" s="73"/>
      <c r="G561" s="286"/>
      <c r="H561" s="27"/>
      <c r="J561" s="389"/>
      <c r="Q561" s="5"/>
      <c r="R561" s="183"/>
    </row>
    <row r="562">
      <c r="D562" s="73"/>
      <c r="E562" s="285"/>
      <c r="F562" s="73"/>
      <c r="G562" s="286"/>
      <c r="H562" s="27"/>
      <c r="J562" s="389"/>
      <c r="Q562" s="5"/>
      <c r="R562" s="183"/>
    </row>
    <row r="563">
      <c r="D563" s="73"/>
      <c r="E563" s="285"/>
      <c r="F563" s="73"/>
      <c r="G563" s="286"/>
      <c r="H563" s="27"/>
      <c r="J563" s="389"/>
      <c r="Q563" s="5"/>
      <c r="R563" s="183"/>
    </row>
    <row r="564">
      <c r="D564" s="73"/>
      <c r="E564" s="285"/>
      <c r="F564" s="73"/>
      <c r="G564" s="286"/>
      <c r="H564" s="27"/>
      <c r="J564" s="389"/>
      <c r="Q564" s="5"/>
      <c r="R564" s="183"/>
    </row>
    <row r="565">
      <c r="D565" s="73"/>
      <c r="E565" s="285"/>
      <c r="F565" s="73"/>
      <c r="G565" s="286"/>
      <c r="H565" s="27"/>
      <c r="J565" s="389"/>
      <c r="Q565" s="5"/>
      <c r="R565" s="183"/>
    </row>
    <row r="566">
      <c r="D566" s="73"/>
      <c r="E566" s="285"/>
      <c r="F566" s="73"/>
      <c r="G566" s="286"/>
      <c r="H566" s="27"/>
      <c r="J566" s="389"/>
      <c r="Q566" s="5"/>
      <c r="R566" s="183"/>
    </row>
    <row r="567">
      <c r="D567" s="73"/>
      <c r="E567" s="285"/>
      <c r="F567" s="73"/>
      <c r="G567" s="286"/>
      <c r="H567" s="27"/>
      <c r="J567" s="389"/>
      <c r="Q567" s="5"/>
      <c r="R567" s="183"/>
    </row>
    <row r="568">
      <c r="D568" s="73"/>
      <c r="E568" s="285"/>
      <c r="F568" s="73"/>
      <c r="G568" s="286"/>
      <c r="H568" s="27"/>
      <c r="J568" s="389"/>
      <c r="Q568" s="5"/>
      <c r="R568" s="183"/>
    </row>
    <row r="569">
      <c r="D569" s="73"/>
      <c r="E569" s="285"/>
      <c r="F569" s="73"/>
      <c r="G569" s="286"/>
      <c r="H569" s="27"/>
      <c r="J569" s="389"/>
      <c r="Q569" s="5"/>
      <c r="R569" s="183"/>
    </row>
    <row r="570">
      <c r="D570" s="73"/>
      <c r="E570" s="285"/>
      <c r="F570" s="73"/>
      <c r="G570" s="286"/>
      <c r="H570" s="27"/>
      <c r="J570" s="389"/>
      <c r="Q570" s="5"/>
      <c r="R570" s="183"/>
    </row>
    <row r="571">
      <c r="D571" s="73"/>
      <c r="E571" s="285"/>
      <c r="F571" s="73"/>
      <c r="G571" s="286"/>
      <c r="H571" s="27"/>
      <c r="J571" s="389"/>
      <c r="Q571" s="5"/>
      <c r="R571" s="183"/>
    </row>
    <row r="572">
      <c r="D572" s="73"/>
      <c r="E572" s="285"/>
      <c r="F572" s="73"/>
      <c r="G572" s="286"/>
      <c r="H572" s="27"/>
      <c r="J572" s="389"/>
      <c r="Q572" s="5"/>
      <c r="R572" s="183"/>
    </row>
    <row r="573">
      <c r="D573" s="73"/>
      <c r="E573" s="285"/>
      <c r="F573" s="73"/>
      <c r="G573" s="286"/>
      <c r="H573" s="27"/>
      <c r="J573" s="389"/>
      <c r="Q573" s="5"/>
      <c r="R573" s="183"/>
    </row>
    <row r="574">
      <c r="D574" s="73"/>
      <c r="E574" s="285"/>
      <c r="F574" s="73"/>
      <c r="G574" s="286"/>
      <c r="H574" s="27"/>
      <c r="J574" s="389"/>
      <c r="Q574" s="5"/>
      <c r="R574" s="183"/>
    </row>
    <row r="575">
      <c r="D575" s="73"/>
      <c r="E575" s="285"/>
      <c r="F575" s="73"/>
      <c r="G575" s="286"/>
      <c r="H575" s="27"/>
      <c r="J575" s="389"/>
      <c r="Q575" s="5"/>
      <c r="R575" s="183"/>
    </row>
    <row r="576">
      <c r="D576" s="73"/>
      <c r="E576" s="285"/>
      <c r="F576" s="73"/>
      <c r="G576" s="286"/>
      <c r="H576" s="27"/>
      <c r="J576" s="389"/>
      <c r="Q576" s="5"/>
      <c r="R576" s="183"/>
    </row>
    <row r="577">
      <c r="D577" s="73"/>
      <c r="E577" s="285"/>
      <c r="F577" s="73"/>
      <c r="G577" s="286"/>
      <c r="H577" s="27"/>
      <c r="J577" s="389"/>
      <c r="Q577" s="5"/>
      <c r="R577" s="183"/>
    </row>
    <row r="578">
      <c r="D578" s="73"/>
      <c r="E578" s="285"/>
      <c r="F578" s="73"/>
      <c r="G578" s="286"/>
      <c r="H578" s="27"/>
      <c r="J578" s="389"/>
      <c r="Q578" s="5"/>
      <c r="R578" s="183"/>
    </row>
    <row r="579">
      <c r="D579" s="73"/>
      <c r="E579" s="285"/>
      <c r="F579" s="73"/>
      <c r="G579" s="286"/>
      <c r="H579" s="27"/>
      <c r="J579" s="389"/>
      <c r="Q579" s="5"/>
      <c r="R579" s="183"/>
    </row>
    <row r="580">
      <c r="D580" s="73"/>
      <c r="E580" s="285"/>
      <c r="F580" s="73"/>
      <c r="G580" s="286"/>
      <c r="H580" s="27"/>
      <c r="J580" s="389"/>
      <c r="Q580" s="5"/>
      <c r="R580" s="183"/>
    </row>
    <row r="581">
      <c r="D581" s="73"/>
      <c r="E581" s="285"/>
      <c r="F581" s="73"/>
      <c r="G581" s="286"/>
      <c r="H581" s="27"/>
      <c r="J581" s="389"/>
      <c r="Q581" s="5"/>
      <c r="R581" s="183"/>
    </row>
    <row r="582">
      <c r="D582" s="73"/>
      <c r="E582" s="285"/>
      <c r="F582" s="73"/>
      <c r="G582" s="286"/>
      <c r="H582" s="27"/>
      <c r="J582" s="389"/>
      <c r="Q582" s="5"/>
      <c r="R582" s="183"/>
    </row>
    <row r="583">
      <c r="D583" s="73"/>
      <c r="E583" s="285"/>
      <c r="F583" s="73"/>
      <c r="G583" s="286"/>
      <c r="H583" s="27"/>
      <c r="J583" s="389"/>
      <c r="Q583" s="5"/>
      <c r="R583" s="183"/>
    </row>
    <row r="584">
      <c r="D584" s="73"/>
      <c r="E584" s="285"/>
      <c r="F584" s="73"/>
      <c r="G584" s="286"/>
      <c r="H584" s="27"/>
      <c r="J584" s="389"/>
      <c r="Q584" s="5"/>
      <c r="R584" s="183"/>
    </row>
    <row r="585">
      <c r="D585" s="73"/>
      <c r="E585" s="285"/>
      <c r="F585" s="73"/>
      <c r="G585" s="286"/>
      <c r="H585" s="27"/>
      <c r="J585" s="389"/>
      <c r="Q585" s="5"/>
      <c r="R585" s="183"/>
    </row>
    <row r="586">
      <c r="D586" s="73"/>
      <c r="E586" s="285"/>
      <c r="F586" s="73"/>
      <c r="G586" s="286"/>
      <c r="H586" s="27"/>
      <c r="J586" s="389"/>
      <c r="Q586" s="5"/>
      <c r="R586" s="183"/>
    </row>
    <row r="587">
      <c r="D587" s="73"/>
      <c r="E587" s="285"/>
      <c r="F587" s="73"/>
      <c r="G587" s="286"/>
      <c r="H587" s="27"/>
      <c r="J587" s="389"/>
      <c r="Q587" s="5"/>
      <c r="R587" s="183"/>
    </row>
    <row r="588">
      <c r="D588" s="73"/>
      <c r="E588" s="285"/>
      <c r="F588" s="73"/>
      <c r="G588" s="286"/>
      <c r="H588" s="27"/>
      <c r="J588" s="389"/>
      <c r="Q588" s="5"/>
      <c r="R588" s="183"/>
    </row>
    <row r="589">
      <c r="D589" s="73"/>
      <c r="E589" s="285"/>
      <c r="F589" s="73"/>
      <c r="G589" s="286"/>
      <c r="H589" s="27"/>
      <c r="J589" s="389"/>
      <c r="Q589" s="5"/>
      <c r="R589" s="183"/>
    </row>
    <row r="590">
      <c r="D590" s="73"/>
      <c r="E590" s="285"/>
      <c r="F590" s="73"/>
      <c r="G590" s="286"/>
      <c r="H590" s="27"/>
      <c r="J590" s="389"/>
      <c r="Q590" s="5"/>
      <c r="R590" s="183"/>
    </row>
    <row r="591">
      <c r="D591" s="73"/>
      <c r="E591" s="285"/>
      <c r="F591" s="73"/>
      <c r="G591" s="286"/>
      <c r="H591" s="27"/>
      <c r="J591" s="389"/>
      <c r="Q591" s="5"/>
      <c r="R591" s="183"/>
    </row>
    <row r="592">
      <c r="D592" s="73"/>
      <c r="E592" s="285"/>
      <c r="F592" s="73"/>
      <c r="G592" s="286"/>
      <c r="H592" s="27"/>
      <c r="J592" s="389"/>
      <c r="Q592" s="5"/>
      <c r="R592" s="183"/>
    </row>
    <row r="593">
      <c r="D593" s="73"/>
      <c r="E593" s="285"/>
      <c r="F593" s="73"/>
      <c r="G593" s="286"/>
      <c r="H593" s="27"/>
      <c r="J593" s="389"/>
      <c r="Q593" s="5"/>
      <c r="R593" s="183"/>
    </row>
    <row r="594">
      <c r="D594" s="73"/>
      <c r="E594" s="285"/>
      <c r="F594" s="73"/>
      <c r="G594" s="286"/>
      <c r="H594" s="27"/>
      <c r="J594" s="389"/>
      <c r="Q594" s="5"/>
      <c r="R594" s="183"/>
    </row>
    <row r="595">
      <c r="D595" s="73"/>
      <c r="E595" s="285"/>
      <c r="F595" s="73"/>
      <c r="G595" s="286"/>
      <c r="H595" s="27"/>
      <c r="J595" s="389"/>
      <c r="Q595" s="5"/>
      <c r="R595" s="183"/>
    </row>
    <row r="596">
      <c r="D596" s="73"/>
      <c r="E596" s="285"/>
      <c r="F596" s="73"/>
      <c r="G596" s="286"/>
      <c r="H596" s="27"/>
      <c r="J596" s="389"/>
      <c r="Q596" s="5"/>
      <c r="R596" s="183"/>
    </row>
    <row r="597">
      <c r="D597" s="73"/>
      <c r="E597" s="285"/>
      <c r="F597" s="73"/>
      <c r="G597" s="286"/>
      <c r="H597" s="27"/>
      <c r="J597" s="389"/>
      <c r="Q597" s="5"/>
      <c r="R597" s="183"/>
    </row>
    <row r="598">
      <c r="D598" s="73"/>
      <c r="E598" s="285"/>
      <c r="F598" s="73"/>
      <c r="G598" s="286"/>
      <c r="H598" s="27"/>
      <c r="J598" s="389"/>
      <c r="Q598" s="5"/>
      <c r="R598" s="183"/>
    </row>
    <row r="599">
      <c r="D599" s="73"/>
      <c r="E599" s="285"/>
      <c r="F599" s="73"/>
      <c r="G599" s="286"/>
      <c r="H599" s="27"/>
      <c r="J599" s="389"/>
      <c r="Q599" s="5"/>
      <c r="R599" s="183"/>
    </row>
    <row r="600">
      <c r="D600" s="73"/>
      <c r="E600" s="285"/>
      <c r="F600" s="73"/>
      <c r="G600" s="286"/>
      <c r="H600" s="27"/>
      <c r="J600" s="389"/>
      <c r="Q600" s="5"/>
      <c r="R600" s="183"/>
    </row>
    <row r="601">
      <c r="D601" s="73"/>
      <c r="E601" s="285"/>
      <c r="F601" s="73"/>
      <c r="G601" s="286"/>
      <c r="H601" s="27"/>
      <c r="J601" s="389"/>
      <c r="Q601" s="5"/>
      <c r="R601" s="183"/>
    </row>
    <row r="602">
      <c r="D602" s="73"/>
      <c r="E602" s="285"/>
      <c r="F602" s="73"/>
      <c r="G602" s="286"/>
      <c r="H602" s="27"/>
      <c r="J602" s="389"/>
      <c r="Q602" s="5"/>
      <c r="R602" s="183"/>
    </row>
    <row r="603">
      <c r="D603" s="73"/>
      <c r="E603" s="285"/>
      <c r="F603" s="73"/>
      <c r="G603" s="286"/>
      <c r="H603" s="27"/>
      <c r="J603" s="389"/>
      <c r="Q603" s="5"/>
      <c r="R603" s="183"/>
    </row>
    <row r="604">
      <c r="D604" s="73"/>
      <c r="E604" s="285"/>
      <c r="F604" s="73"/>
      <c r="G604" s="286"/>
      <c r="H604" s="27"/>
      <c r="J604" s="389"/>
      <c r="Q604" s="5"/>
      <c r="R604" s="183"/>
    </row>
    <row r="605">
      <c r="D605" s="73"/>
      <c r="E605" s="285"/>
      <c r="F605" s="73"/>
      <c r="G605" s="286"/>
      <c r="H605" s="27"/>
      <c r="J605" s="389"/>
      <c r="Q605" s="5"/>
      <c r="R605" s="183"/>
    </row>
    <row r="606">
      <c r="D606" s="73"/>
      <c r="E606" s="285"/>
      <c r="F606" s="73"/>
      <c r="G606" s="286"/>
      <c r="H606" s="27"/>
      <c r="J606" s="389"/>
      <c r="Q606" s="5"/>
      <c r="R606" s="183"/>
    </row>
    <row r="607">
      <c r="D607" s="73"/>
      <c r="E607" s="285"/>
      <c r="F607" s="73"/>
      <c r="G607" s="286"/>
      <c r="H607" s="27"/>
      <c r="J607" s="389"/>
      <c r="Q607" s="5"/>
      <c r="R607" s="183"/>
    </row>
    <row r="608">
      <c r="D608" s="73"/>
      <c r="E608" s="285"/>
      <c r="F608" s="73"/>
      <c r="G608" s="286"/>
      <c r="H608" s="27"/>
      <c r="J608" s="389"/>
      <c r="Q608" s="5"/>
      <c r="R608" s="183"/>
    </row>
    <row r="609">
      <c r="D609" s="73"/>
      <c r="E609" s="285"/>
      <c r="F609" s="73"/>
      <c r="G609" s="286"/>
      <c r="H609" s="27"/>
      <c r="J609" s="389"/>
      <c r="Q609" s="5"/>
      <c r="R609" s="183"/>
    </row>
    <row r="610">
      <c r="D610" s="73"/>
      <c r="E610" s="285"/>
      <c r="F610" s="73"/>
      <c r="G610" s="286"/>
      <c r="H610" s="27"/>
      <c r="J610" s="389"/>
      <c r="Q610" s="5"/>
      <c r="R610" s="183"/>
    </row>
    <row r="611">
      <c r="D611" s="73"/>
      <c r="E611" s="285"/>
      <c r="F611" s="73"/>
      <c r="G611" s="286"/>
      <c r="H611" s="27"/>
      <c r="J611" s="389"/>
      <c r="Q611" s="5"/>
      <c r="R611" s="183"/>
    </row>
    <row r="612">
      <c r="D612" s="73"/>
      <c r="E612" s="285"/>
      <c r="F612" s="73"/>
      <c r="G612" s="286"/>
      <c r="H612" s="27"/>
      <c r="J612" s="389"/>
      <c r="Q612" s="5"/>
      <c r="R612" s="183"/>
    </row>
    <row r="613">
      <c r="D613" s="73"/>
      <c r="E613" s="285"/>
      <c r="F613" s="73"/>
      <c r="G613" s="286"/>
      <c r="H613" s="27"/>
      <c r="J613" s="389"/>
      <c r="Q613" s="5"/>
      <c r="R613" s="183"/>
    </row>
    <row r="614">
      <c r="D614" s="73"/>
      <c r="E614" s="285"/>
      <c r="F614" s="73"/>
      <c r="G614" s="286"/>
      <c r="H614" s="27"/>
      <c r="J614" s="389"/>
      <c r="Q614" s="5"/>
      <c r="R614" s="183"/>
    </row>
    <row r="615">
      <c r="D615" s="73"/>
      <c r="E615" s="285"/>
      <c r="F615" s="73"/>
      <c r="G615" s="286"/>
      <c r="H615" s="27"/>
      <c r="J615" s="389"/>
      <c r="Q615" s="5"/>
      <c r="R615" s="183"/>
    </row>
    <row r="616">
      <c r="D616" s="73"/>
      <c r="E616" s="285"/>
      <c r="F616" s="73"/>
      <c r="G616" s="286"/>
      <c r="H616" s="27"/>
      <c r="J616" s="389"/>
      <c r="Q616" s="5"/>
      <c r="R616" s="183"/>
    </row>
    <row r="617">
      <c r="D617" s="73"/>
      <c r="E617" s="285"/>
      <c r="F617" s="73"/>
      <c r="G617" s="286"/>
      <c r="H617" s="27"/>
      <c r="J617" s="389"/>
      <c r="Q617" s="5"/>
      <c r="R617" s="183"/>
    </row>
    <row r="618">
      <c r="D618" s="73"/>
      <c r="E618" s="285"/>
      <c r="F618" s="73"/>
      <c r="G618" s="286"/>
      <c r="H618" s="27"/>
      <c r="J618" s="389"/>
      <c r="Q618" s="5"/>
      <c r="R618" s="183"/>
    </row>
    <row r="619">
      <c r="D619" s="73"/>
      <c r="E619" s="285"/>
      <c r="F619" s="73"/>
      <c r="G619" s="286"/>
      <c r="H619" s="27"/>
      <c r="J619" s="389"/>
      <c r="Q619" s="5"/>
      <c r="R619" s="183"/>
    </row>
    <row r="620">
      <c r="D620" s="73"/>
      <c r="E620" s="285"/>
      <c r="F620" s="73"/>
      <c r="G620" s="286"/>
      <c r="H620" s="27"/>
      <c r="J620" s="389"/>
      <c r="Q620" s="5"/>
      <c r="R620" s="183"/>
    </row>
    <row r="621">
      <c r="D621" s="73"/>
      <c r="E621" s="285"/>
      <c r="F621" s="73"/>
      <c r="G621" s="286"/>
      <c r="H621" s="27"/>
      <c r="J621" s="389"/>
      <c r="Q621" s="5"/>
      <c r="R621" s="183"/>
    </row>
    <row r="622">
      <c r="D622" s="73"/>
      <c r="E622" s="285"/>
      <c r="F622" s="73"/>
      <c r="G622" s="286"/>
      <c r="H622" s="27"/>
      <c r="J622" s="389"/>
      <c r="Q622" s="5"/>
      <c r="R622" s="183"/>
    </row>
    <row r="623">
      <c r="D623" s="73"/>
      <c r="E623" s="285"/>
      <c r="F623" s="73"/>
      <c r="G623" s="286"/>
      <c r="H623" s="27"/>
      <c r="J623" s="389"/>
      <c r="Q623" s="5"/>
      <c r="R623" s="183"/>
    </row>
    <row r="624">
      <c r="D624" s="73"/>
      <c r="E624" s="285"/>
      <c r="F624" s="73"/>
      <c r="G624" s="286"/>
      <c r="H624" s="27"/>
      <c r="J624" s="389"/>
      <c r="Q624" s="5"/>
      <c r="R624" s="183"/>
    </row>
    <row r="625">
      <c r="D625" s="73"/>
      <c r="E625" s="285"/>
      <c r="F625" s="73"/>
      <c r="G625" s="286"/>
      <c r="H625" s="27"/>
      <c r="J625" s="389"/>
      <c r="Q625" s="5"/>
      <c r="R625" s="183"/>
    </row>
    <row r="626">
      <c r="D626" s="73"/>
      <c r="E626" s="285"/>
      <c r="F626" s="73"/>
      <c r="G626" s="286"/>
      <c r="H626" s="27"/>
      <c r="J626" s="389"/>
      <c r="Q626" s="5"/>
      <c r="R626" s="183"/>
    </row>
    <row r="627">
      <c r="D627" s="73"/>
      <c r="E627" s="285"/>
      <c r="F627" s="73"/>
      <c r="G627" s="286"/>
      <c r="H627" s="27"/>
      <c r="J627" s="389"/>
      <c r="Q627" s="5"/>
      <c r="R627" s="183"/>
    </row>
    <row r="628">
      <c r="D628" s="73"/>
      <c r="E628" s="285"/>
      <c r="F628" s="73"/>
      <c r="G628" s="286"/>
      <c r="H628" s="27"/>
      <c r="J628" s="389"/>
      <c r="Q628" s="5"/>
      <c r="R628" s="183"/>
    </row>
    <row r="629">
      <c r="D629" s="73"/>
      <c r="E629" s="285"/>
      <c r="F629" s="73"/>
      <c r="G629" s="286"/>
      <c r="H629" s="27"/>
      <c r="J629" s="389"/>
      <c r="Q629" s="5"/>
      <c r="R629" s="183"/>
    </row>
    <row r="630">
      <c r="D630" s="73"/>
      <c r="E630" s="285"/>
      <c r="F630" s="73"/>
      <c r="G630" s="286"/>
      <c r="H630" s="27"/>
      <c r="J630" s="389"/>
      <c r="Q630" s="5"/>
      <c r="R630" s="183"/>
    </row>
    <row r="631">
      <c r="D631" s="73"/>
      <c r="E631" s="285"/>
      <c r="F631" s="73"/>
      <c r="G631" s="286"/>
      <c r="H631" s="27"/>
      <c r="J631" s="389"/>
      <c r="Q631" s="5"/>
      <c r="R631" s="183"/>
    </row>
    <row r="632">
      <c r="D632" s="73"/>
      <c r="E632" s="285"/>
      <c r="F632" s="73"/>
      <c r="G632" s="286"/>
      <c r="H632" s="27"/>
      <c r="J632" s="389"/>
      <c r="Q632" s="5"/>
      <c r="R632" s="183"/>
    </row>
    <row r="633">
      <c r="D633" s="73"/>
      <c r="E633" s="285"/>
      <c r="F633" s="73"/>
      <c r="G633" s="286"/>
      <c r="H633" s="27"/>
      <c r="J633" s="389"/>
      <c r="Q633" s="5"/>
      <c r="R633" s="183"/>
    </row>
    <row r="634">
      <c r="D634" s="73"/>
      <c r="E634" s="285"/>
      <c r="F634" s="73"/>
      <c r="G634" s="286"/>
      <c r="H634" s="27"/>
      <c r="J634" s="389"/>
      <c r="Q634" s="5"/>
      <c r="R634" s="183"/>
    </row>
    <row r="635">
      <c r="D635" s="73"/>
      <c r="E635" s="285"/>
      <c r="F635" s="73"/>
      <c r="G635" s="286"/>
      <c r="H635" s="27"/>
      <c r="J635" s="389"/>
      <c r="Q635" s="5"/>
      <c r="R635" s="183"/>
    </row>
    <row r="636">
      <c r="D636" s="73"/>
      <c r="E636" s="285"/>
      <c r="F636" s="73"/>
      <c r="G636" s="286"/>
      <c r="H636" s="27"/>
      <c r="J636" s="389"/>
      <c r="Q636" s="5"/>
      <c r="R636" s="183"/>
    </row>
    <row r="637">
      <c r="D637" s="73"/>
      <c r="E637" s="285"/>
      <c r="F637" s="73"/>
      <c r="G637" s="286"/>
      <c r="H637" s="27"/>
      <c r="J637" s="389"/>
      <c r="Q637" s="5"/>
      <c r="R637" s="183"/>
    </row>
    <row r="638">
      <c r="D638" s="73"/>
      <c r="E638" s="285"/>
      <c r="F638" s="73"/>
      <c r="G638" s="286"/>
      <c r="H638" s="27"/>
      <c r="J638" s="389"/>
      <c r="Q638" s="5"/>
      <c r="R638" s="183"/>
    </row>
    <row r="639">
      <c r="D639" s="73"/>
      <c r="E639" s="285"/>
      <c r="F639" s="73"/>
      <c r="G639" s="286"/>
      <c r="H639" s="27"/>
      <c r="J639" s="389"/>
      <c r="Q639" s="5"/>
      <c r="R639" s="183"/>
    </row>
    <row r="640">
      <c r="D640" s="73"/>
      <c r="E640" s="285"/>
      <c r="F640" s="73"/>
      <c r="G640" s="286"/>
      <c r="H640" s="27"/>
      <c r="J640" s="389"/>
      <c r="Q640" s="5"/>
      <c r="R640" s="183"/>
    </row>
    <row r="641">
      <c r="D641" s="73"/>
      <c r="E641" s="285"/>
      <c r="F641" s="73"/>
      <c r="G641" s="286"/>
      <c r="H641" s="27"/>
      <c r="J641" s="389"/>
      <c r="Q641" s="5"/>
      <c r="R641" s="183"/>
    </row>
    <row r="642">
      <c r="D642" s="73"/>
      <c r="E642" s="285"/>
      <c r="F642" s="73"/>
      <c r="G642" s="286"/>
      <c r="H642" s="27"/>
      <c r="J642" s="389"/>
      <c r="Q642" s="5"/>
      <c r="R642" s="183"/>
    </row>
    <row r="643">
      <c r="D643" s="73"/>
      <c r="E643" s="285"/>
      <c r="F643" s="73"/>
      <c r="G643" s="286"/>
      <c r="H643" s="27"/>
      <c r="J643" s="389"/>
      <c r="Q643" s="5"/>
      <c r="R643" s="183"/>
    </row>
    <row r="644">
      <c r="D644" s="73"/>
      <c r="E644" s="285"/>
      <c r="F644" s="73"/>
      <c r="G644" s="286"/>
      <c r="H644" s="27"/>
      <c r="J644" s="389"/>
      <c r="Q644" s="5"/>
      <c r="R644" s="183"/>
    </row>
    <row r="645">
      <c r="D645" s="73"/>
      <c r="E645" s="285"/>
      <c r="F645" s="73"/>
      <c r="G645" s="286"/>
      <c r="H645" s="27"/>
      <c r="J645" s="389"/>
      <c r="Q645" s="5"/>
      <c r="R645" s="183"/>
    </row>
    <row r="646">
      <c r="D646" s="73"/>
      <c r="E646" s="285"/>
      <c r="F646" s="73"/>
      <c r="G646" s="286"/>
      <c r="H646" s="27"/>
      <c r="J646" s="389"/>
      <c r="Q646" s="5"/>
      <c r="R646" s="183"/>
    </row>
    <row r="647">
      <c r="D647" s="73"/>
      <c r="E647" s="285"/>
      <c r="F647" s="73"/>
      <c r="G647" s="286"/>
      <c r="H647" s="27"/>
      <c r="J647" s="389"/>
      <c r="Q647" s="5"/>
      <c r="R647" s="183"/>
    </row>
    <row r="648">
      <c r="D648" s="73"/>
      <c r="E648" s="285"/>
      <c r="F648" s="73"/>
      <c r="G648" s="286"/>
      <c r="H648" s="27"/>
      <c r="J648" s="389"/>
      <c r="Q648" s="5"/>
      <c r="R648" s="183"/>
    </row>
    <row r="649">
      <c r="D649" s="73"/>
      <c r="E649" s="285"/>
      <c r="F649" s="73"/>
      <c r="G649" s="286"/>
      <c r="H649" s="27"/>
      <c r="J649" s="389"/>
      <c r="Q649" s="5"/>
      <c r="R649" s="183"/>
    </row>
    <row r="650">
      <c r="D650" s="73"/>
      <c r="E650" s="285"/>
      <c r="F650" s="73"/>
      <c r="G650" s="286"/>
      <c r="H650" s="27"/>
      <c r="J650" s="389"/>
      <c r="Q650" s="5"/>
      <c r="R650" s="183"/>
    </row>
    <row r="651">
      <c r="D651" s="73"/>
      <c r="E651" s="285"/>
      <c r="F651" s="73"/>
      <c r="G651" s="286"/>
      <c r="H651" s="27"/>
      <c r="J651" s="389"/>
      <c r="Q651" s="5"/>
      <c r="R651" s="183"/>
    </row>
    <row r="652">
      <c r="D652" s="73"/>
      <c r="E652" s="285"/>
      <c r="F652" s="73"/>
      <c r="G652" s="286"/>
      <c r="H652" s="27"/>
      <c r="J652" s="389"/>
      <c r="Q652" s="5"/>
      <c r="R652" s="183"/>
    </row>
    <row r="653">
      <c r="D653" s="73"/>
      <c r="E653" s="285"/>
      <c r="F653" s="73"/>
      <c r="G653" s="286"/>
      <c r="H653" s="27"/>
      <c r="J653" s="389"/>
      <c r="Q653" s="5"/>
      <c r="R653" s="183"/>
    </row>
    <row r="654">
      <c r="D654" s="73"/>
      <c r="E654" s="285"/>
      <c r="F654" s="73"/>
      <c r="G654" s="286"/>
      <c r="H654" s="27"/>
      <c r="J654" s="389"/>
      <c r="Q654" s="5"/>
      <c r="R654" s="183"/>
    </row>
    <row r="655">
      <c r="D655" s="73"/>
      <c r="E655" s="285"/>
      <c r="F655" s="73"/>
      <c r="G655" s="286"/>
      <c r="H655" s="27"/>
      <c r="J655" s="389"/>
      <c r="Q655" s="5"/>
      <c r="R655" s="183"/>
    </row>
    <row r="656">
      <c r="D656" s="73"/>
      <c r="E656" s="285"/>
      <c r="F656" s="73"/>
      <c r="G656" s="286"/>
      <c r="H656" s="27"/>
      <c r="J656" s="389"/>
      <c r="Q656" s="5"/>
      <c r="R656" s="183"/>
    </row>
    <row r="657">
      <c r="D657" s="73"/>
      <c r="E657" s="285"/>
      <c r="F657" s="73"/>
      <c r="G657" s="286"/>
      <c r="H657" s="27"/>
      <c r="J657" s="389"/>
      <c r="Q657" s="5"/>
      <c r="R657" s="183"/>
    </row>
    <row r="658">
      <c r="D658" s="73"/>
      <c r="E658" s="285"/>
      <c r="F658" s="73"/>
      <c r="G658" s="286"/>
      <c r="H658" s="27"/>
      <c r="J658" s="389"/>
      <c r="Q658" s="5"/>
      <c r="R658" s="183"/>
    </row>
    <row r="659">
      <c r="D659" s="73"/>
      <c r="E659" s="285"/>
      <c r="F659" s="73"/>
      <c r="G659" s="286"/>
      <c r="H659" s="27"/>
      <c r="J659" s="389"/>
      <c r="Q659" s="5"/>
      <c r="R659" s="183"/>
    </row>
    <row r="660">
      <c r="D660" s="73"/>
      <c r="E660" s="285"/>
      <c r="F660" s="73"/>
      <c r="G660" s="286"/>
      <c r="H660" s="27"/>
      <c r="J660" s="389"/>
      <c r="Q660" s="5"/>
      <c r="R660" s="183"/>
    </row>
    <row r="661">
      <c r="D661" s="73"/>
      <c r="E661" s="285"/>
      <c r="F661" s="73"/>
      <c r="G661" s="286"/>
      <c r="H661" s="27"/>
      <c r="J661" s="389"/>
      <c r="Q661" s="5"/>
      <c r="R661" s="183"/>
    </row>
    <row r="662">
      <c r="D662" s="73"/>
      <c r="E662" s="285"/>
      <c r="F662" s="73"/>
      <c r="G662" s="286"/>
      <c r="H662" s="27"/>
      <c r="J662" s="389"/>
      <c r="Q662" s="5"/>
      <c r="R662" s="183"/>
    </row>
    <row r="663">
      <c r="D663" s="73"/>
      <c r="E663" s="285"/>
      <c r="F663" s="73"/>
      <c r="G663" s="286"/>
      <c r="H663" s="27"/>
      <c r="J663" s="389"/>
      <c r="Q663" s="5"/>
      <c r="R663" s="183"/>
    </row>
    <row r="664">
      <c r="D664" s="73"/>
      <c r="E664" s="285"/>
      <c r="F664" s="73"/>
      <c r="G664" s="286"/>
      <c r="H664" s="27"/>
      <c r="J664" s="389"/>
      <c r="Q664" s="5"/>
      <c r="R664" s="183"/>
    </row>
    <row r="665">
      <c r="D665" s="73"/>
      <c r="E665" s="285"/>
      <c r="F665" s="73"/>
      <c r="G665" s="286"/>
      <c r="H665" s="27"/>
      <c r="J665" s="389"/>
      <c r="Q665" s="5"/>
      <c r="R665" s="183"/>
    </row>
    <row r="666">
      <c r="D666" s="73"/>
      <c r="E666" s="285"/>
      <c r="F666" s="73"/>
      <c r="G666" s="286"/>
      <c r="H666" s="27"/>
      <c r="J666" s="389"/>
      <c r="Q666" s="5"/>
      <c r="R666" s="183"/>
    </row>
    <row r="667">
      <c r="D667" s="73"/>
      <c r="E667" s="285"/>
      <c r="F667" s="73"/>
      <c r="G667" s="286"/>
      <c r="H667" s="27"/>
      <c r="J667" s="389"/>
      <c r="Q667" s="5"/>
      <c r="R667" s="183"/>
    </row>
    <row r="668">
      <c r="D668" s="73"/>
      <c r="E668" s="285"/>
      <c r="F668" s="73"/>
      <c r="G668" s="286"/>
      <c r="H668" s="27"/>
      <c r="J668" s="389"/>
      <c r="Q668" s="5"/>
      <c r="R668" s="183"/>
    </row>
    <row r="669">
      <c r="D669" s="73"/>
      <c r="E669" s="285"/>
      <c r="F669" s="73"/>
      <c r="G669" s="286"/>
      <c r="H669" s="27"/>
      <c r="J669" s="389"/>
      <c r="Q669" s="5"/>
      <c r="R669" s="183"/>
    </row>
    <row r="670">
      <c r="D670" s="73"/>
      <c r="E670" s="285"/>
      <c r="F670" s="73"/>
      <c r="G670" s="286"/>
      <c r="H670" s="27"/>
      <c r="J670" s="389"/>
      <c r="Q670" s="5"/>
      <c r="R670" s="183"/>
    </row>
    <row r="671">
      <c r="D671" s="73"/>
      <c r="E671" s="285"/>
      <c r="F671" s="73"/>
      <c r="G671" s="286"/>
      <c r="H671" s="27"/>
      <c r="J671" s="389"/>
      <c r="Q671" s="5"/>
      <c r="R671" s="183"/>
    </row>
    <row r="672">
      <c r="D672" s="73"/>
      <c r="E672" s="285"/>
      <c r="F672" s="73"/>
      <c r="G672" s="286"/>
      <c r="H672" s="27"/>
      <c r="J672" s="389"/>
      <c r="Q672" s="5"/>
      <c r="R672" s="183"/>
    </row>
    <row r="673">
      <c r="D673" s="73"/>
      <c r="E673" s="285"/>
      <c r="F673" s="73"/>
      <c r="G673" s="286"/>
      <c r="H673" s="27"/>
      <c r="J673" s="389"/>
      <c r="Q673" s="5"/>
      <c r="R673" s="183"/>
    </row>
    <row r="674">
      <c r="D674" s="73"/>
      <c r="E674" s="285"/>
      <c r="F674" s="73"/>
      <c r="G674" s="286"/>
      <c r="H674" s="27"/>
      <c r="J674" s="389"/>
      <c r="Q674" s="5"/>
      <c r="R674" s="183"/>
    </row>
    <row r="675">
      <c r="D675" s="73"/>
      <c r="E675" s="285"/>
      <c r="F675" s="73"/>
      <c r="G675" s="286"/>
      <c r="H675" s="27"/>
      <c r="J675" s="389"/>
      <c r="Q675" s="5"/>
      <c r="R675" s="183"/>
    </row>
    <row r="676">
      <c r="D676" s="73"/>
      <c r="E676" s="285"/>
      <c r="F676" s="73"/>
      <c r="G676" s="286"/>
      <c r="H676" s="27"/>
      <c r="J676" s="389"/>
      <c r="Q676" s="5"/>
      <c r="R676" s="183"/>
    </row>
    <row r="677">
      <c r="D677" s="73"/>
      <c r="E677" s="285"/>
      <c r="F677" s="73"/>
      <c r="G677" s="286"/>
      <c r="H677" s="27"/>
      <c r="J677" s="389"/>
      <c r="Q677" s="5"/>
      <c r="R677" s="183"/>
    </row>
    <row r="678">
      <c r="D678" s="73"/>
      <c r="E678" s="285"/>
      <c r="F678" s="73"/>
      <c r="G678" s="286"/>
      <c r="H678" s="27"/>
      <c r="J678" s="389"/>
      <c r="Q678" s="5"/>
      <c r="R678" s="183"/>
    </row>
    <row r="679">
      <c r="D679" s="73"/>
      <c r="E679" s="285"/>
      <c r="F679" s="73"/>
      <c r="G679" s="286"/>
      <c r="H679" s="27"/>
      <c r="J679" s="389"/>
      <c r="Q679" s="5"/>
      <c r="R679" s="183"/>
    </row>
    <row r="680">
      <c r="D680" s="73"/>
      <c r="E680" s="285"/>
      <c r="F680" s="73"/>
      <c r="G680" s="286"/>
      <c r="H680" s="27"/>
      <c r="J680" s="389"/>
      <c r="Q680" s="5"/>
      <c r="R680" s="183"/>
    </row>
    <row r="681">
      <c r="D681" s="73"/>
      <c r="E681" s="285"/>
      <c r="F681" s="73"/>
      <c r="G681" s="286"/>
      <c r="H681" s="27"/>
      <c r="J681" s="389"/>
      <c r="Q681" s="5"/>
      <c r="R681" s="183"/>
    </row>
    <row r="682">
      <c r="D682" s="73"/>
      <c r="E682" s="285"/>
      <c r="F682" s="73"/>
      <c r="G682" s="286"/>
      <c r="H682" s="27"/>
      <c r="J682" s="389"/>
      <c r="Q682" s="5"/>
      <c r="R682" s="183"/>
    </row>
    <row r="683">
      <c r="D683" s="73"/>
      <c r="E683" s="285"/>
      <c r="F683" s="73"/>
      <c r="G683" s="286"/>
      <c r="H683" s="27"/>
      <c r="J683" s="389"/>
      <c r="Q683" s="5"/>
      <c r="R683" s="183"/>
    </row>
    <row r="684">
      <c r="D684" s="73"/>
      <c r="E684" s="285"/>
      <c r="F684" s="73"/>
      <c r="G684" s="286"/>
      <c r="H684" s="27"/>
      <c r="J684" s="389"/>
      <c r="Q684" s="5"/>
      <c r="R684" s="183"/>
    </row>
    <row r="685">
      <c r="D685" s="73"/>
      <c r="E685" s="285"/>
      <c r="F685" s="73"/>
      <c r="G685" s="286"/>
      <c r="H685" s="27"/>
      <c r="J685" s="389"/>
      <c r="Q685" s="5"/>
      <c r="R685" s="183"/>
    </row>
    <row r="686">
      <c r="D686" s="73"/>
      <c r="E686" s="285"/>
      <c r="F686" s="73"/>
      <c r="G686" s="286"/>
      <c r="H686" s="27"/>
      <c r="J686" s="389"/>
      <c r="Q686" s="5"/>
      <c r="R686" s="183"/>
    </row>
    <row r="687">
      <c r="D687" s="73"/>
      <c r="E687" s="285"/>
      <c r="F687" s="73"/>
      <c r="G687" s="286"/>
      <c r="H687" s="27"/>
      <c r="J687" s="389"/>
      <c r="Q687" s="5"/>
      <c r="R687" s="183"/>
    </row>
    <row r="688">
      <c r="D688" s="73"/>
      <c r="E688" s="285"/>
      <c r="F688" s="73"/>
      <c r="G688" s="286"/>
      <c r="H688" s="27"/>
      <c r="J688" s="389"/>
      <c r="Q688" s="5"/>
      <c r="R688" s="183"/>
    </row>
    <row r="689">
      <c r="D689" s="73"/>
      <c r="E689" s="285"/>
      <c r="F689" s="73"/>
      <c r="G689" s="286"/>
      <c r="H689" s="27"/>
      <c r="J689" s="389"/>
      <c r="Q689" s="5"/>
      <c r="R689" s="183"/>
    </row>
    <row r="690">
      <c r="D690" s="73"/>
      <c r="E690" s="285"/>
      <c r="F690" s="73"/>
      <c r="G690" s="286"/>
      <c r="H690" s="27"/>
      <c r="J690" s="389"/>
      <c r="Q690" s="5"/>
      <c r="R690" s="183"/>
    </row>
    <row r="691">
      <c r="D691" s="73"/>
      <c r="E691" s="285"/>
      <c r="F691" s="73"/>
      <c r="G691" s="286"/>
      <c r="H691" s="27"/>
      <c r="J691" s="389"/>
      <c r="Q691" s="5"/>
      <c r="R691" s="183"/>
    </row>
    <row r="692">
      <c r="D692" s="73"/>
      <c r="E692" s="285"/>
      <c r="F692" s="73"/>
      <c r="G692" s="286"/>
      <c r="H692" s="27"/>
      <c r="J692" s="389"/>
      <c r="Q692" s="5"/>
      <c r="R692" s="183"/>
    </row>
    <row r="693">
      <c r="D693" s="73"/>
      <c r="E693" s="285"/>
      <c r="F693" s="73"/>
      <c r="G693" s="286"/>
      <c r="H693" s="27"/>
      <c r="J693" s="389"/>
      <c r="Q693" s="5"/>
      <c r="R693" s="183"/>
    </row>
    <row r="694">
      <c r="D694" s="73"/>
      <c r="E694" s="285"/>
      <c r="F694" s="73"/>
      <c r="G694" s="286"/>
      <c r="H694" s="27"/>
      <c r="J694" s="389"/>
      <c r="Q694" s="5"/>
      <c r="R694" s="183"/>
    </row>
    <row r="695">
      <c r="D695" s="73"/>
      <c r="E695" s="285"/>
      <c r="F695" s="73"/>
      <c r="G695" s="286"/>
      <c r="H695" s="27"/>
      <c r="J695" s="389"/>
      <c r="Q695" s="5"/>
      <c r="R695" s="183"/>
    </row>
    <row r="696">
      <c r="D696" s="73"/>
      <c r="E696" s="285"/>
      <c r="F696" s="73"/>
      <c r="G696" s="286"/>
      <c r="H696" s="27"/>
      <c r="J696" s="389"/>
      <c r="Q696" s="5"/>
      <c r="R696" s="183"/>
    </row>
    <row r="697">
      <c r="D697" s="73"/>
      <c r="E697" s="285"/>
      <c r="F697" s="73"/>
      <c r="G697" s="286"/>
      <c r="H697" s="27"/>
      <c r="J697" s="389"/>
      <c r="Q697" s="5"/>
      <c r="R697" s="183"/>
    </row>
    <row r="698">
      <c r="D698" s="73"/>
      <c r="E698" s="285"/>
      <c r="F698" s="73"/>
      <c r="G698" s="286"/>
      <c r="H698" s="27"/>
      <c r="J698" s="389"/>
      <c r="Q698" s="5"/>
      <c r="R698" s="183"/>
    </row>
    <row r="699">
      <c r="D699" s="73"/>
      <c r="E699" s="285"/>
      <c r="F699" s="73"/>
      <c r="G699" s="286"/>
      <c r="H699" s="27"/>
      <c r="J699" s="389"/>
      <c r="Q699" s="5"/>
      <c r="R699" s="183"/>
    </row>
    <row r="700">
      <c r="D700" s="73"/>
      <c r="E700" s="285"/>
      <c r="F700" s="73"/>
      <c r="G700" s="286"/>
      <c r="H700" s="27"/>
      <c r="J700" s="389"/>
      <c r="Q700" s="5"/>
      <c r="R700" s="183"/>
    </row>
    <row r="701">
      <c r="D701" s="73"/>
      <c r="E701" s="285"/>
      <c r="F701" s="73"/>
      <c r="G701" s="286"/>
      <c r="H701" s="27"/>
      <c r="J701" s="389"/>
      <c r="Q701" s="5"/>
      <c r="R701" s="183"/>
    </row>
    <row r="702">
      <c r="D702" s="73"/>
      <c r="E702" s="285"/>
      <c r="F702" s="73"/>
      <c r="G702" s="286"/>
      <c r="H702" s="27"/>
      <c r="J702" s="389"/>
      <c r="Q702" s="5"/>
      <c r="R702" s="183"/>
    </row>
    <row r="703">
      <c r="D703" s="73"/>
      <c r="E703" s="285"/>
      <c r="F703" s="73"/>
      <c r="G703" s="286"/>
      <c r="H703" s="27"/>
      <c r="J703" s="389"/>
      <c r="Q703" s="5"/>
      <c r="R703" s="183"/>
    </row>
    <row r="704">
      <c r="D704" s="73"/>
      <c r="E704" s="285"/>
      <c r="F704" s="73"/>
      <c r="G704" s="286"/>
      <c r="H704" s="27"/>
      <c r="J704" s="389"/>
      <c r="Q704" s="5"/>
      <c r="R704" s="183"/>
    </row>
    <row r="705">
      <c r="D705" s="73"/>
      <c r="E705" s="285"/>
      <c r="F705" s="73"/>
      <c r="G705" s="286"/>
      <c r="H705" s="27"/>
      <c r="J705" s="389"/>
      <c r="Q705" s="5"/>
      <c r="R705" s="183"/>
    </row>
    <row r="706">
      <c r="D706" s="73"/>
      <c r="E706" s="285"/>
      <c r="F706" s="73"/>
      <c r="G706" s="286"/>
      <c r="H706" s="27"/>
      <c r="J706" s="389"/>
      <c r="Q706" s="5"/>
      <c r="R706" s="183"/>
    </row>
    <row r="707">
      <c r="D707" s="73"/>
      <c r="E707" s="285"/>
      <c r="F707" s="73"/>
      <c r="G707" s="286"/>
      <c r="H707" s="27"/>
      <c r="J707" s="389"/>
      <c r="Q707" s="5"/>
      <c r="R707" s="183"/>
    </row>
    <row r="708">
      <c r="D708" s="73"/>
      <c r="E708" s="285"/>
      <c r="F708" s="73"/>
      <c r="G708" s="286"/>
      <c r="H708" s="27"/>
      <c r="J708" s="389"/>
      <c r="Q708" s="5"/>
      <c r="R708" s="183"/>
    </row>
    <row r="709">
      <c r="D709" s="73"/>
      <c r="E709" s="285"/>
      <c r="F709" s="73"/>
      <c r="G709" s="286"/>
      <c r="H709" s="27"/>
      <c r="J709" s="389"/>
      <c r="Q709" s="5"/>
      <c r="R709" s="183"/>
    </row>
    <row r="710">
      <c r="D710" s="73"/>
      <c r="E710" s="285"/>
      <c r="F710" s="73"/>
      <c r="G710" s="286"/>
      <c r="H710" s="27"/>
      <c r="J710" s="389"/>
      <c r="Q710" s="5"/>
      <c r="R710" s="183"/>
    </row>
    <row r="711">
      <c r="D711" s="73"/>
      <c r="E711" s="285"/>
      <c r="F711" s="73"/>
      <c r="G711" s="286"/>
      <c r="H711" s="27"/>
      <c r="J711" s="389"/>
      <c r="Q711" s="5"/>
      <c r="R711" s="183"/>
    </row>
    <row r="712">
      <c r="D712" s="73"/>
      <c r="E712" s="285"/>
      <c r="F712" s="73"/>
      <c r="G712" s="286"/>
      <c r="H712" s="27"/>
      <c r="J712" s="389"/>
      <c r="Q712" s="5"/>
      <c r="R712" s="183"/>
    </row>
    <row r="713">
      <c r="D713" s="73"/>
      <c r="E713" s="285"/>
      <c r="F713" s="73"/>
      <c r="G713" s="286"/>
      <c r="H713" s="27"/>
      <c r="J713" s="389"/>
      <c r="Q713" s="5"/>
      <c r="R713" s="183"/>
    </row>
    <row r="714">
      <c r="D714" s="73"/>
      <c r="E714" s="285"/>
      <c r="F714" s="73"/>
      <c r="G714" s="286"/>
      <c r="H714" s="27"/>
      <c r="J714" s="389"/>
      <c r="Q714" s="5"/>
      <c r="R714" s="183"/>
    </row>
    <row r="715">
      <c r="D715" s="73"/>
      <c r="E715" s="285"/>
      <c r="F715" s="73"/>
      <c r="G715" s="286"/>
      <c r="H715" s="27"/>
      <c r="J715" s="389"/>
      <c r="Q715" s="5"/>
      <c r="R715" s="183"/>
    </row>
    <row r="716">
      <c r="D716" s="73"/>
      <c r="E716" s="285"/>
      <c r="F716" s="73"/>
      <c r="G716" s="286"/>
      <c r="H716" s="27"/>
      <c r="J716" s="389"/>
      <c r="Q716" s="5"/>
      <c r="R716" s="183"/>
    </row>
    <row r="717">
      <c r="D717" s="73"/>
      <c r="E717" s="285"/>
      <c r="F717" s="73"/>
      <c r="G717" s="286"/>
      <c r="H717" s="27"/>
      <c r="J717" s="389"/>
      <c r="Q717" s="5"/>
      <c r="R717" s="183"/>
    </row>
    <row r="718">
      <c r="D718" s="73"/>
      <c r="E718" s="285"/>
      <c r="F718" s="73"/>
      <c r="G718" s="286"/>
      <c r="H718" s="27"/>
      <c r="J718" s="389"/>
      <c r="Q718" s="5"/>
      <c r="R718" s="183"/>
    </row>
    <row r="719">
      <c r="D719" s="73"/>
      <c r="E719" s="285"/>
      <c r="F719" s="73"/>
      <c r="G719" s="286"/>
      <c r="H719" s="27"/>
      <c r="J719" s="389"/>
      <c r="Q719" s="5"/>
      <c r="R719" s="183"/>
    </row>
    <row r="720">
      <c r="D720" s="73"/>
      <c r="E720" s="285"/>
      <c r="F720" s="73"/>
      <c r="G720" s="286"/>
      <c r="H720" s="27"/>
      <c r="J720" s="389"/>
      <c r="Q720" s="5"/>
      <c r="R720" s="183"/>
    </row>
    <row r="721">
      <c r="D721" s="73"/>
      <c r="E721" s="285"/>
      <c r="F721" s="73"/>
      <c r="G721" s="286"/>
      <c r="H721" s="27"/>
      <c r="J721" s="389"/>
      <c r="Q721" s="5"/>
      <c r="R721" s="183"/>
    </row>
    <row r="722">
      <c r="D722" s="73"/>
      <c r="E722" s="285"/>
      <c r="F722" s="73"/>
      <c r="G722" s="286"/>
      <c r="H722" s="27"/>
      <c r="J722" s="389"/>
      <c r="Q722" s="5"/>
      <c r="R722" s="183"/>
    </row>
    <row r="723">
      <c r="D723" s="73"/>
      <c r="E723" s="285"/>
      <c r="F723" s="73"/>
      <c r="G723" s="286"/>
      <c r="H723" s="27"/>
      <c r="J723" s="389"/>
      <c r="Q723" s="5"/>
      <c r="R723" s="183"/>
    </row>
    <row r="724">
      <c r="D724" s="73"/>
      <c r="E724" s="285"/>
      <c r="F724" s="73"/>
      <c r="G724" s="286"/>
      <c r="H724" s="27"/>
      <c r="J724" s="389"/>
      <c r="Q724" s="5"/>
      <c r="R724" s="183"/>
    </row>
    <row r="725">
      <c r="D725" s="73"/>
      <c r="E725" s="285"/>
      <c r="F725" s="73"/>
      <c r="G725" s="286"/>
      <c r="H725" s="27"/>
      <c r="J725" s="389"/>
      <c r="Q725" s="5"/>
      <c r="R725" s="183"/>
    </row>
    <row r="726">
      <c r="D726" s="73"/>
      <c r="E726" s="285"/>
      <c r="F726" s="73"/>
      <c r="G726" s="286"/>
      <c r="H726" s="27"/>
      <c r="J726" s="389"/>
      <c r="Q726" s="5"/>
      <c r="R726" s="183"/>
    </row>
    <row r="727">
      <c r="D727" s="73"/>
      <c r="E727" s="285"/>
      <c r="F727" s="73"/>
      <c r="G727" s="286"/>
      <c r="H727" s="27"/>
      <c r="J727" s="389"/>
      <c r="Q727" s="5"/>
      <c r="R727" s="183"/>
    </row>
    <row r="728">
      <c r="D728" s="73"/>
      <c r="E728" s="285"/>
      <c r="F728" s="73"/>
      <c r="G728" s="286"/>
      <c r="H728" s="27"/>
      <c r="J728" s="389"/>
      <c r="Q728" s="5"/>
      <c r="R728" s="183"/>
    </row>
    <row r="729">
      <c r="D729" s="73"/>
      <c r="E729" s="285"/>
      <c r="F729" s="73"/>
      <c r="G729" s="286"/>
      <c r="H729" s="27"/>
      <c r="J729" s="389"/>
      <c r="Q729" s="5"/>
      <c r="R729" s="183"/>
    </row>
    <row r="730">
      <c r="D730" s="73"/>
      <c r="E730" s="285"/>
      <c r="F730" s="73"/>
      <c r="G730" s="286"/>
      <c r="H730" s="27"/>
      <c r="J730" s="389"/>
      <c r="Q730" s="5"/>
      <c r="R730" s="183"/>
    </row>
    <row r="731">
      <c r="D731" s="73"/>
      <c r="E731" s="285"/>
      <c r="F731" s="73"/>
      <c r="G731" s="286"/>
      <c r="H731" s="27"/>
      <c r="J731" s="389"/>
      <c r="Q731" s="5"/>
      <c r="R731" s="183"/>
    </row>
    <row r="732">
      <c r="D732" s="73"/>
      <c r="E732" s="285"/>
      <c r="F732" s="73"/>
      <c r="G732" s="286"/>
      <c r="H732" s="27"/>
      <c r="J732" s="389"/>
      <c r="Q732" s="5"/>
      <c r="R732" s="183"/>
    </row>
    <row r="733">
      <c r="D733" s="73"/>
      <c r="E733" s="285"/>
      <c r="F733" s="73"/>
      <c r="G733" s="286"/>
      <c r="H733" s="27"/>
      <c r="J733" s="389"/>
      <c r="Q733" s="5"/>
      <c r="R733" s="183"/>
    </row>
    <row r="734">
      <c r="D734" s="73"/>
      <c r="E734" s="285"/>
      <c r="F734" s="73"/>
      <c r="G734" s="286"/>
      <c r="H734" s="27"/>
      <c r="J734" s="389"/>
      <c r="Q734" s="5"/>
      <c r="R734" s="183"/>
    </row>
    <row r="735">
      <c r="D735" s="73"/>
      <c r="E735" s="285"/>
      <c r="F735" s="73"/>
      <c r="G735" s="286"/>
      <c r="H735" s="27"/>
      <c r="J735" s="389"/>
      <c r="Q735" s="5"/>
      <c r="R735" s="183"/>
    </row>
    <row r="736">
      <c r="D736" s="73"/>
      <c r="E736" s="285"/>
      <c r="F736" s="73"/>
      <c r="G736" s="286"/>
      <c r="H736" s="27"/>
      <c r="J736" s="389"/>
      <c r="Q736" s="5"/>
      <c r="R736" s="183"/>
    </row>
    <row r="737">
      <c r="D737" s="73"/>
      <c r="E737" s="285"/>
      <c r="F737" s="73"/>
      <c r="G737" s="286"/>
      <c r="H737" s="27"/>
      <c r="J737" s="389"/>
      <c r="Q737" s="5"/>
      <c r="R737" s="183"/>
    </row>
    <row r="738">
      <c r="D738" s="73"/>
      <c r="E738" s="285"/>
      <c r="F738" s="73"/>
      <c r="G738" s="286"/>
      <c r="H738" s="27"/>
      <c r="J738" s="389"/>
      <c r="Q738" s="5"/>
      <c r="R738" s="183"/>
    </row>
    <row r="739">
      <c r="D739" s="73"/>
      <c r="E739" s="285"/>
      <c r="F739" s="73"/>
      <c r="G739" s="286"/>
      <c r="H739" s="27"/>
      <c r="J739" s="389"/>
      <c r="Q739" s="5"/>
      <c r="R739" s="183"/>
    </row>
    <row r="740">
      <c r="D740" s="73"/>
      <c r="E740" s="285"/>
      <c r="F740" s="73"/>
      <c r="G740" s="286"/>
      <c r="H740" s="27"/>
      <c r="J740" s="389"/>
      <c r="Q740" s="5"/>
      <c r="R740" s="183"/>
    </row>
    <row r="741">
      <c r="D741" s="73"/>
      <c r="E741" s="285"/>
      <c r="F741" s="73"/>
      <c r="G741" s="286"/>
      <c r="H741" s="27"/>
      <c r="J741" s="389"/>
      <c r="Q741" s="5"/>
      <c r="R741" s="183"/>
    </row>
    <row r="742">
      <c r="D742" s="73"/>
      <c r="E742" s="285"/>
      <c r="F742" s="73"/>
      <c r="G742" s="286"/>
      <c r="H742" s="27"/>
      <c r="J742" s="389"/>
      <c r="Q742" s="5"/>
      <c r="R742" s="183"/>
    </row>
    <row r="743">
      <c r="D743" s="73"/>
      <c r="E743" s="285"/>
      <c r="F743" s="73"/>
      <c r="G743" s="286"/>
      <c r="H743" s="27"/>
      <c r="J743" s="389"/>
      <c r="Q743" s="5"/>
      <c r="R743" s="183"/>
    </row>
    <row r="744">
      <c r="D744" s="73"/>
      <c r="E744" s="285"/>
      <c r="F744" s="73"/>
      <c r="G744" s="286"/>
      <c r="H744" s="27"/>
      <c r="J744" s="389"/>
      <c r="Q744" s="5"/>
      <c r="R744" s="183"/>
    </row>
    <row r="745">
      <c r="D745" s="73"/>
      <c r="E745" s="285"/>
      <c r="F745" s="73"/>
      <c r="G745" s="286"/>
      <c r="H745" s="27"/>
      <c r="J745" s="389"/>
      <c r="Q745" s="5"/>
      <c r="R745" s="183"/>
    </row>
    <row r="746">
      <c r="D746" s="73"/>
      <c r="E746" s="285"/>
      <c r="F746" s="73"/>
      <c r="G746" s="286"/>
      <c r="H746" s="27"/>
      <c r="J746" s="389"/>
      <c r="Q746" s="5"/>
      <c r="R746" s="183"/>
    </row>
    <row r="747">
      <c r="D747" s="73"/>
      <c r="E747" s="285"/>
      <c r="F747" s="73"/>
      <c r="G747" s="286"/>
      <c r="H747" s="27"/>
      <c r="J747" s="389"/>
      <c r="Q747" s="5"/>
      <c r="R747" s="183"/>
    </row>
    <row r="748">
      <c r="D748" s="73"/>
      <c r="E748" s="285"/>
      <c r="F748" s="73"/>
      <c r="G748" s="286"/>
      <c r="H748" s="27"/>
      <c r="J748" s="389"/>
      <c r="Q748" s="5"/>
      <c r="R748" s="183"/>
    </row>
    <row r="749">
      <c r="D749" s="73"/>
      <c r="E749" s="285"/>
      <c r="F749" s="73"/>
      <c r="G749" s="286"/>
      <c r="H749" s="27"/>
      <c r="J749" s="389"/>
      <c r="Q749" s="5"/>
      <c r="R749" s="183"/>
    </row>
    <row r="750">
      <c r="D750" s="73"/>
      <c r="E750" s="285"/>
      <c r="F750" s="73"/>
      <c r="G750" s="286"/>
      <c r="H750" s="27"/>
      <c r="J750" s="389"/>
      <c r="Q750" s="5"/>
      <c r="R750" s="183"/>
    </row>
    <row r="751">
      <c r="D751" s="73"/>
      <c r="E751" s="285"/>
      <c r="F751" s="73"/>
      <c r="G751" s="286"/>
      <c r="H751" s="27"/>
      <c r="J751" s="389"/>
      <c r="Q751" s="5"/>
      <c r="R751" s="183"/>
    </row>
    <row r="752">
      <c r="D752" s="73"/>
      <c r="E752" s="285"/>
      <c r="F752" s="73"/>
      <c r="G752" s="286"/>
      <c r="H752" s="27"/>
      <c r="J752" s="389"/>
      <c r="Q752" s="5"/>
      <c r="R752" s="183"/>
    </row>
    <row r="753">
      <c r="D753" s="73"/>
      <c r="E753" s="285"/>
      <c r="F753" s="73"/>
      <c r="G753" s="286"/>
      <c r="H753" s="27"/>
      <c r="J753" s="389"/>
      <c r="Q753" s="5"/>
      <c r="R753" s="183"/>
    </row>
    <row r="754">
      <c r="D754" s="73"/>
      <c r="E754" s="285"/>
      <c r="F754" s="73"/>
      <c r="G754" s="286"/>
      <c r="H754" s="27"/>
      <c r="J754" s="389"/>
      <c r="Q754" s="5"/>
      <c r="R754" s="183"/>
    </row>
    <row r="755">
      <c r="D755" s="73"/>
      <c r="E755" s="285"/>
      <c r="F755" s="73"/>
      <c r="G755" s="286"/>
      <c r="H755" s="27"/>
      <c r="J755" s="389"/>
      <c r="Q755" s="5"/>
      <c r="R755" s="183"/>
    </row>
    <row r="756">
      <c r="D756" s="73"/>
      <c r="E756" s="285"/>
      <c r="F756" s="73"/>
      <c r="G756" s="286"/>
      <c r="H756" s="27"/>
      <c r="J756" s="389"/>
      <c r="Q756" s="5"/>
      <c r="R756" s="183"/>
    </row>
    <row r="757">
      <c r="D757" s="73"/>
      <c r="E757" s="285"/>
      <c r="F757" s="73"/>
      <c r="G757" s="286"/>
      <c r="H757" s="27"/>
      <c r="J757" s="389"/>
      <c r="Q757" s="5"/>
      <c r="R757" s="183"/>
    </row>
    <row r="758">
      <c r="D758" s="73"/>
      <c r="E758" s="285"/>
      <c r="F758" s="73"/>
      <c r="G758" s="286"/>
      <c r="H758" s="27"/>
      <c r="J758" s="389"/>
      <c r="Q758" s="5"/>
      <c r="R758" s="183"/>
    </row>
    <row r="759">
      <c r="D759" s="73"/>
      <c r="E759" s="285"/>
      <c r="F759" s="73"/>
      <c r="G759" s="286"/>
      <c r="H759" s="27"/>
      <c r="J759" s="389"/>
      <c r="Q759" s="5"/>
      <c r="R759" s="183"/>
    </row>
    <row r="760">
      <c r="D760" s="73"/>
      <c r="E760" s="285"/>
      <c r="F760" s="73"/>
      <c r="G760" s="286"/>
      <c r="H760" s="27"/>
      <c r="J760" s="389"/>
      <c r="Q760" s="5"/>
      <c r="R760" s="183"/>
    </row>
    <row r="761">
      <c r="D761" s="73"/>
      <c r="E761" s="285"/>
      <c r="F761" s="73"/>
      <c r="G761" s="286"/>
      <c r="H761" s="27"/>
      <c r="J761" s="389"/>
      <c r="Q761" s="5"/>
      <c r="R761" s="183"/>
    </row>
    <row r="762">
      <c r="D762" s="73"/>
      <c r="E762" s="285"/>
      <c r="F762" s="73"/>
      <c r="G762" s="286"/>
      <c r="H762" s="27"/>
      <c r="J762" s="389"/>
      <c r="Q762" s="5"/>
      <c r="R762" s="183"/>
    </row>
    <row r="763">
      <c r="D763" s="73"/>
      <c r="E763" s="285"/>
      <c r="F763" s="73"/>
      <c r="G763" s="286"/>
      <c r="H763" s="27"/>
      <c r="J763" s="389"/>
      <c r="Q763" s="5"/>
      <c r="R763" s="183"/>
    </row>
    <row r="764">
      <c r="D764" s="73"/>
      <c r="E764" s="285"/>
      <c r="F764" s="73"/>
      <c r="G764" s="286"/>
      <c r="H764" s="27"/>
      <c r="J764" s="389"/>
      <c r="Q764" s="5"/>
      <c r="R764" s="183"/>
    </row>
    <row r="765">
      <c r="D765" s="73"/>
      <c r="E765" s="285"/>
      <c r="F765" s="73"/>
      <c r="G765" s="286"/>
      <c r="H765" s="27"/>
      <c r="J765" s="389"/>
      <c r="Q765" s="5"/>
      <c r="R765" s="183"/>
    </row>
    <row r="766">
      <c r="D766" s="73"/>
      <c r="E766" s="285"/>
      <c r="F766" s="73"/>
      <c r="G766" s="286"/>
      <c r="H766" s="27"/>
      <c r="J766" s="389"/>
      <c r="Q766" s="5"/>
      <c r="R766" s="183"/>
    </row>
    <row r="767">
      <c r="D767" s="73"/>
      <c r="E767" s="285"/>
      <c r="F767" s="73"/>
      <c r="G767" s="286"/>
      <c r="H767" s="27"/>
      <c r="J767" s="389"/>
      <c r="Q767" s="5"/>
      <c r="R767" s="183"/>
    </row>
    <row r="768">
      <c r="D768" s="73"/>
      <c r="E768" s="285"/>
      <c r="F768" s="73"/>
      <c r="G768" s="286"/>
      <c r="H768" s="27"/>
      <c r="J768" s="389"/>
      <c r="Q768" s="5"/>
      <c r="R768" s="183"/>
    </row>
    <row r="769">
      <c r="D769" s="73"/>
      <c r="E769" s="285"/>
      <c r="F769" s="73"/>
      <c r="G769" s="286"/>
      <c r="H769" s="27"/>
      <c r="J769" s="389"/>
      <c r="Q769" s="5"/>
      <c r="R769" s="183"/>
    </row>
    <row r="770">
      <c r="D770" s="73"/>
      <c r="E770" s="285"/>
      <c r="F770" s="73"/>
      <c r="G770" s="286"/>
      <c r="H770" s="27"/>
      <c r="J770" s="389"/>
      <c r="Q770" s="5"/>
      <c r="R770" s="183"/>
    </row>
    <row r="771">
      <c r="D771" s="73"/>
      <c r="E771" s="285"/>
      <c r="F771" s="73"/>
      <c r="G771" s="286"/>
      <c r="H771" s="27"/>
      <c r="J771" s="389"/>
      <c r="Q771" s="5"/>
      <c r="R771" s="183"/>
    </row>
    <row r="772">
      <c r="D772" s="73"/>
      <c r="E772" s="285"/>
      <c r="F772" s="73"/>
      <c r="G772" s="286"/>
      <c r="H772" s="27"/>
      <c r="J772" s="389"/>
      <c r="Q772" s="5"/>
      <c r="R772" s="183"/>
    </row>
    <row r="773">
      <c r="D773" s="73"/>
      <c r="E773" s="285"/>
      <c r="F773" s="73"/>
      <c r="G773" s="286"/>
      <c r="H773" s="27"/>
      <c r="J773" s="389"/>
      <c r="Q773" s="5"/>
      <c r="R773" s="183"/>
    </row>
    <row r="774">
      <c r="D774" s="73"/>
      <c r="E774" s="285"/>
      <c r="F774" s="73"/>
      <c r="G774" s="286"/>
      <c r="H774" s="27"/>
      <c r="J774" s="389"/>
      <c r="Q774" s="5"/>
      <c r="R774" s="183"/>
    </row>
    <row r="775">
      <c r="D775" s="73"/>
      <c r="E775" s="285"/>
      <c r="F775" s="73"/>
      <c r="G775" s="286"/>
      <c r="H775" s="27"/>
      <c r="J775" s="389"/>
      <c r="Q775" s="5"/>
      <c r="R775" s="183"/>
    </row>
    <row r="776">
      <c r="D776" s="73"/>
      <c r="E776" s="285"/>
      <c r="F776" s="73"/>
      <c r="G776" s="286"/>
      <c r="H776" s="27"/>
      <c r="J776" s="389"/>
      <c r="Q776" s="5"/>
      <c r="R776" s="183"/>
    </row>
    <row r="777">
      <c r="D777" s="73"/>
      <c r="E777" s="285"/>
      <c r="F777" s="73"/>
      <c r="G777" s="286"/>
      <c r="H777" s="27"/>
      <c r="J777" s="389"/>
      <c r="Q777" s="5"/>
      <c r="R777" s="183"/>
    </row>
    <row r="778">
      <c r="D778" s="73"/>
      <c r="E778" s="285"/>
      <c r="F778" s="73"/>
      <c r="G778" s="286"/>
      <c r="H778" s="27"/>
      <c r="J778" s="389"/>
      <c r="Q778" s="5"/>
      <c r="R778" s="183"/>
    </row>
    <row r="779">
      <c r="D779" s="73"/>
      <c r="E779" s="285"/>
      <c r="F779" s="73"/>
      <c r="G779" s="286"/>
      <c r="H779" s="27"/>
      <c r="J779" s="389"/>
      <c r="Q779" s="5"/>
      <c r="R779" s="183"/>
    </row>
    <row r="780">
      <c r="D780" s="73"/>
      <c r="E780" s="285"/>
      <c r="F780" s="73"/>
      <c r="G780" s="286"/>
      <c r="H780" s="27"/>
      <c r="J780" s="389"/>
      <c r="Q780" s="5"/>
      <c r="R780" s="183"/>
    </row>
    <row r="781">
      <c r="D781" s="73"/>
      <c r="E781" s="285"/>
      <c r="F781" s="73"/>
      <c r="G781" s="286"/>
      <c r="H781" s="27"/>
      <c r="J781" s="389"/>
      <c r="Q781" s="5"/>
      <c r="R781" s="183"/>
    </row>
    <row r="782">
      <c r="D782" s="73"/>
      <c r="E782" s="285"/>
      <c r="F782" s="73"/>
      <c r="G782" s="286"/>
      <c r="H782" s="27"/>
      <c r="J782" s="389"/>
      <c r="Q782" s="5"/>
      <c r="R782" s="183"/>
    </row>
    <row r="783">
      <c r="D783" s="73"/>
      <c r="E783" s="285"/>
      <c r="F783" s="73"/>
      <c r="G783" s="286"/>
      <c r="H783" s="27"/>
      <c r="J783" s="389"/>
      <c r="Q783" s="5"/>
      <c r="R783" s="183"/>
    </row>
    <row r="784">
      <c r="D784" s="73"/>
      <c r="E784" s="285"/>
      <c r="F784" s="73"/>
      <c r="G784" s="286"/>
      <c r="H784" s="27"/>
      <c r="J784" s="389"/>
      <c r="Q784" s="5"/>
      <c r="R784" s="183"/>
    </row>
    <row r="785">
      <c r="D785" s="73"/>
      <c r="E785" s="285"/>
      <c r="F785" s="73"/>
      <c r="G785" s="286"/>
      <c r="H785" s="27"/>
      <c r="J785" s="389"/>
      <c r="Q785" s="5"/>
      <c r="R785" s="183"/>
    </row>
    <row r="786">
      <c r="D786" s="73"/>
      <c r="E786" s="285"/>
      <c r="F786" s="73"/>
      <c r="G786" s="286"/>
      <c r="H786" s="27"/>
      <c r="J786" s="389"/>
      <c r="Q786" s="5"/>
      <c r="R786" s="183"/>
    </row>
    <row r="787">
      <c r="D787" s="73"/>
      <c r="E787" s="285"/>
      <c r="F787" s="73"/>
      <c r="G787" s="286"/>
      <c r="H787" s="27"/>
      <c r="J787" s="389"/>
      <c r="Q787" s="5"/>
      <c r="R787" s="183"/>
    </row>
    <row r="788">
      <c r="D788" s="73"/>
      <c r="E788" s="285"/>
      <c r="F788" s="73"/>
      <c r="G788" s="286"/>
      <c r="H788" s="27"/>
      <c r="J788" s="389"/>
      <c r="Q788" s="5"/>
      <c r="R788" s="183"/>
    </row>
    <row r="789">
      <c r="D789" s="73"/>
      <c r="E789" s="285"/>
      <c r="F789" s="73"/>
      <c r="G789" s="286"/>
      <c r="H789" s="27"/>
      <c r="J789" s="389"/>
      <c r="Q789" s="5"/>
      <c r="R789" s="183"/>
    </row>
    <row r="790">
      <c r="D790" s="73"/>
      <c r="E790" s="285"/>
      <c r="F790" s="73"/>
      <c r="G790" s="286"/>
      <c r="H790" s="27"/>
      <c r="J790" s="389"/>
      <c r="Q790" s="5"/>
      <c r="R790" s="183"/>
    </row>
    <row r="791">
      <c r="D791" s="73"/>
      <c r="E791" s="285"/>
      <c r="F791" s="73"/>
      <c r="G791" s="286"/>
      <c r="H791" s="27"/>
      <c r="J791" s="389"/>
      <c r="Q791" s="5"/>
      <c r="R791" s="183"/>
    </row>
    <row r="792">
      <c r="D792" s="73"/>
      <c r="E792" s="285"/>
      <c r="F792" s="73"/>
      <c r="G792" s="286"/>
      <c r="H792" s="27"/>
      <c r="J792" s="389"/>
      <c r="Q792" s="5"/>
      <c r="R792" s="183"/>
    </row>
    <row r="793">
      <c r="D793" s="73"/>
      <c r="E793" s="285"/>
      <c r="F793" s="73"/>
      <c r="G793" s="286"/>
      <c r="H793" s="27"/>
      <c r="J793" s="389"/>
      <c r="Q793" s="5"/>
      <c r="R793" s="183"/>
    </row>
    <row r="794">
      <c r="D794" s="73"/>
      <c r="E794" s="285"/>
      <c r="F794" s="73"/>
      <c r="G794" s="286"/>
      <c r="H794" s="27"/>
      <c r="J794" s="389"/>
      <c r="Q794" s="5"/>
      <c r="R794" s="183"/>
    </row>
    <row r="795">
      <c r="D795" s="73"/>
      <c r="E795" s="285"/>
      <c r="F795" s="73"/>
      <c r="G795" s="286"/>
      <c r="H795" s="27"/>
      <c r="J795" s="389"/>
      <c r="Q795" s="5"/>
      <c r="R795" s="183"/>
    </row>
    <row r="796">
      <c r="D796" s="73"/>
      <c r="E796" s="285"/>
      <c r="F796" s="73"/>
      <c r="G796" s="286"/>
      <c r="H796" s="27"/>
      <c r="J796" s="389"/>
      <c r="Q796" s="5"/>
      <c r="R796" s="183"/>
    </row>
    <row r="797">
      <c r="D797" s="73"/>
      <c r="E797" s="285"/>
      <c r="F797" s="73"/>
      <c r="G797" s="286"/>
      <c r="H797" s="27"/>
      <c r="J797" s="389"/>
      <c r="Q797" s="5"/>
      <c r="R797" s="183"/>
    </row>
    <row r="798">
      <c r="D798" s="73"/>
      <c r="E798" s="285"/>
      <c r="F798" s="73"/>
      <c r="G798" s="286"/>
      <c r="H798" s="27"/>
      <c r="J798" s="389"/>
      <c r="Q798" s="5"/>
      <c r="R798" s="183"/>
    </row>
    <row r="799">
      <c r="D799" s="73"/>
      <c r="E799" s="285"/>
      <c r="F799" s="73"/>
      <c r="G799" s="286"/>
      <c r="H799" s="27"/>
      <c r="J799" s="389"/>
      <c r="Q799" s="5"/>
      <c r="R799" s="183"/>
    </row>
    <row r="800">
      <c r="D800" s="73"/>
      <c r="E800" s="285"/>
      <c r="F800" s="73"/>
      <c r="G800" s="286"/>
      <c r="H800" s="27"/>
      <c r="J800" s="389"/>
      <c r="Q800" s="5"/>
      <c r="R800" s="183"/>
    </row>
    <row r="801">
      <c r="D801" s="73"/>
      <c r="E801" s="285"/>
      <c r="F801" s="73"/>
      <c r="G801" s="286"/>
      <c r="H801" s="27"/>
      <c r="J801" s="389"/>
      <c r="Q801" s="5"/>
      <c r="R801" s="183"/>
    </row>
    <row r="802">
      <c r="D802" s="73"/>
      <c r="E802" s="285"/>
      <c r="F802" s="73"/>
      <c r="G802" s="286"/>
      <c r="H802" s="27"/>
      <c r="J802" s="389"/>
      <c r="Q802" s="5"/>
      <c r="R802" s="183"/>
    </row>
    <row r="803">
      <c r="D803" s="73"/>
      <c r="E803" s="285"/>
      <c r="F803" s="73"/>
      <c r="G803" s="286"/>
      <c r="H803" s="27"/>
      <c r="J803" s="389"/>
      <c r="Q803" s="5"/>
      <c r="R803" s="183"/>
    </row>
    <row r="804">
      <c r="D804" s="73"/>
      <c r="E804" s="285"/>
      <c r="F804" s="73"/>
      <c r="G804" s="286"/>
      <c r="H804" s="27"/>
      <c r="J804" s="389"/>
      <c r="Q804" s="5"/>
      <c r="R804" s="183"/>
    </row>
    <row r="805">
      <c r="D805" s="73"/>
      <c r="E805" s="285"/>
      <c r="F805" s="73"/>
      <c r="G805" s="286"/>
      <c r="H805" s="27"/>
      <c r="J805" s="389"/>
      <c r="Q805" s="5"/>
      <c r="R805" s="183"/>
    </row>
    <row r="806">
      <c r="D806" s="73"/>
      <c r="E806" s="285"/>
      <c r="F806" s="73"/>
      <c r="G806" s="286"/>
      <c r="H806" s="27"/>
      <c r="J806" s="389"/>
      <c r="Q806" s="5"/>
      <c r="R806" s="183"/>
    </row>
    <row r="807">
      <c r="D807" s="73"/>
      <c r="E807" s="285"/>
      <c r="F807" s="73"/>
      <c r="G807" s="286"/>
      <c r="H807" s="27"/>
      <c r="J807" s="389"/>
      <c r="Q807" s="5"/>
      <c r="R807" s="183"/>
    </row>
    <row r="808">
      <c r="D808" s="73"/>
      <c r="E808" s="285"/>
      <c r="F808" s="73"/>
      <c r="G808" s="286"/>
      <c r="H808" s="27"/>
      <c r="J808" s="389"/>
      <c r="Q808" s="5"/>
      <c r="R808" s="183"/>
    </row>
    <row r="809">
      <c r="D809" s="73"/>
      <c r="E809" s="285"/>
      <c r="F809" s="73"/>
      <c r="G809" s="286"/>
      <c r="H809" s="27"/>
      <c r="J809" s="389"/>
      <c r="Q809" s="5"/>
      <c r="R809" s="183"/>
    </row>
    <row r="810">
      <c r="D810" s="73"/>
      <c r="E810" s="285"/>
      <c r="F810" s="73"/>
      <c r="G810" s="286"/>
      <c r="H810" s="27"/>
      <c r="J810" s="389"/>
      <c r="Q810" s="5"/>
      <c r="R810" s="183"/>
    </row>
    <row r="811">
      <c r="D811" s="73"/>
      <c r="E811" s="285"/>
      <c r="F811" s="73"/>
      <c r="G811" s="286"/>
      <c r="H811" s="27"/>
      <c r="J811" s="389"/>
      <c r="Q811" s="5"/>
      <c r="R811" s="183"/>
    </row>
    <row r="812">
      <c r="D812" s="73"/>
      <c r="E812" s="285"/>
      <c r="F812" s="73"/>
      <c r="G812" s="286"/>
      <c r="H812" s="27"/>
      <c r="J812" s="389"/>
      <c r="Q812" s="5"/>
      <c r="R812" s="183"/>
    </row>
    <row r="813">
      <c r="D813" s="73"/>
      <c r="E813" s="285"/>
      <c r="F813" s="73"/>
      <c r="G813" s="286"/>
      <c r="H813" s="27"/>
      <c r="J813" s="389"/>
      <c r="Q813" s="5"/>
      <c r="R813" s="183"/>
    </row>
    <row r="814">
      <c r="D814" s="73"/>
      <c r="E814" s="285"/>
      <c r="F814" s="73"/>
      <c r="G814" s="286"/>
      <c r="H814" s="27"/>
      <c r="J814" s="389"/>
      <c r="Q814" s="5"/>
      <c r="R814" s="183"/>
    </row>
    <row r="815">
      <c r="D815" s="73"/>
      <c r="E815" s="285"/>
      <c r="F815" s="73"/>
      <c r="G815" s="286"/>
      <c r="H815" s="27"/>
      <c r="J815" s="389"/>
      <c r="Q815" s="5"/>
      <c r="R815" s="183"/>
    </row>
    <row r="816">
      <c r="D816" s="73"/>
      <c r="E816" s="285"/>
      <c r="F816" s="73"/>
      <c r="G816" s="286"/>
      <c r="H816" s="27"/>
      <c r="J816" s="389"/>
      <c r="Q816" s="5"/>
      <c r="R816" s="183"/>
    </row>
    <row r="817">
      <c r="D817" s="73"/>
      <c r="E817" s="285"/>
      <c r="F817" s="73"/>
      <c r="G817" s="286"/>
      <c r="H817" s="27"/>
      <c r="J817" s="389"/>
      <c r="Q817" s="5"/>
      <c r="R817" s="183"/>
    </row>
    <row r="818">
      <c r="D818" s="73"/>
      <c r="E818" s="285"/>
      <c r="F818" s="73"/>
      <c r="G818" s="286"/>
      <c r="H818" s="27"/>
      <c r="J818" s="389"/>
      <c r="Q818" s="5"/>
      <c r="R818" s="183"/>
    </row>
    <row r="819">
      <c r="D819" s="73"/>
      <c r="E819" s="285"/>
      <c r="F819" s="73"/>
      <c r="G819" s="286"/>
      <c r="H819" s="27"/>
      <c r="J819" s="389"/>
      <c r="Q819" s="5"/>
      <c r="R819" s="183"/>
    </row>
    <row r="820">
      <c r="D820" s="73"/>
      <c r="E820" s="285"/>
      <c r="F820" s="73"/>
      <c r="G820" s="286"/>
      <c r="H820" s="27"/>
      <c r="J820" s="389"/>
      <c r="Q820" s="5"/>
      <c r="R820" s="183"/>
    </row>
    <row r="821">
      <c r="D821" s="73"/>
      <c r="E821" s="285"/>
      <c r="F821" s="73"/>
      <c r="G821" s="286"/>
      <c r="H821" s="27"/>
      <c r="J821" s="389"/>
      <c r="Q821" s="5"/>
      <c r="R821" s="183"/>
    </row>
    <row r="822">
      <c r="D822" s="73"/>
      <c r="E822" s="285"/>
      <c r="F822" s="73"/>
      <c r="G822" s="286"/>
      <c r="H822" s="27"/>
      <c r="J822" s="389"/>
      <c r="Q822" s="5"/>
      <c r="R822" s="183"/>
    </row>
    <row r="823">
      <c r="D823" s="73"/>
      <c r="E823" s="285"/>
      <c r="F823" s="73"/>
      <c r="G823" s="286"/>
      <c r="H823" s="27"/>
      <c r="J823" s="389"/>
      <c r="Q823" s="5"/>
      <c r="R823" s="183"/>
    </row>
    <row r="824">
      <c r="D824" s="73"/>
      <c r="E824" s="285"/>
      <c r="F824" s="73"/>
      <c r="G824" s="286"/>
      <c r="H824" s="27"/>
      <c r="J824" s="389"/>
      <c r="Q824" s="5"/>
      <c r="R824" s="183"/>
    </row>
    <row r="825">
      <c r="D825" s="73"/>
      <c r="E825" s="285"/>
      <c r="F825" s="73"/>
      <c r="G825" s="286"/>
      <c r="H825" s="27"/>
      <c r="J825" s="389"/>
      <c r="Q825" s="5"/>
      <c r="R825" s="183"/>
    </row>
    <row r="826">
      <c r="D826" s="73"/>
      <c r="E826" s="285"/>
      <c r="F826" s="73"/>
      <c r="G826" s="286"/>
      <c r="H826" s="27"/>
      <c r="J826" s="389"/>
      <c r="Q826" s="5"/>
      <c r="R826" s="183"/>
    </row>
    <row r="827">
      <c r="D827" s="73"/>
      <c r="E827" s="285"/>
      <c r="F827" s="73"/>
      <c r="G827" s="286"/>
      <c r="H827" s="27"/>
      <c r="J827" s="389"/>
      <c r="Q827" s="5"/>
      <c r="R827" s="183"/>
    </row>
    <row r="828">
      <c r="D828" s="73"/>
      <c r="E828" s="285"/>
      <c r="F828" s="73"/>
      <c r="G828" s="286"/>
      <c r="H828" s="27"/>
      <c r="J828" s="389"/>
      <c r="Q828" s="5"/>
      <c r="R828" s="183"/>
    </row>
    <row r="829">
      <c r="D829" s="73"/>
      <c r="E829" s="285"/>
      <c r="F829" s="73"/>
      <c r="G829" s="286"/>
      <c r="H829" s="27"/>
      <c r="J829" s="389"/>
      <c r="Q829" s="5"/>
      <c r="R829" s="183"/>
    </row>
    <row r="830">
      <c r="D830" s="73"/>
      <c r="E830" s="285"/>
      <c r="F830" s="73"/>
      <c r="G830" s="286"/>
      <c r="H830" s="27"/>
      <c r="J830" s="389"/>
      <c r="Q830" s="5"/>
      <c r="R830" s="183"/>
    </row>
    <row r="831">
      <c r="D831" s="73"/>
      <c r="E831" s="285"/>
      <c r="F831" s="73"/>
      <c r="G831" s="286"/>
      <c r="H831" s="27"/>
      <c r="J831" s="389"/>
      <c r="Q831" s="5"/>
      <c r="R831" s="183"/>
    </row>
    <row r="832">
      <c r="D832" s="73"/>
      <c r="E832" s="285"/>
      <c r="F832" s="73"/>
      <c r="G832" s="286"/>
      <c r="H832" s="27"/>
      <c r="J832" s="389"/>
      <c r="Q832" s="5"/>
      <c r="R832" s="183"/>
    </row>
    <row r="833">
      <c r="D833" s="73"/>
      <c r="E833" s="285"/>
      <c r="F833" s="73"/>
      <c r="G833" s="286"/>
      <c r="H833" s="27"/>
      <c r="J833" s="389"/>
      <c r="Q833" s="5"/>
      <c r="R833" s="183"/>
    </row>
    <row r="834">
      <c r="D834" s="73"/>
      <c r="E834" s="285"/>
      <c r="F834" s="73"/>
      <c r="G834" s="286"/>
      <c r="H834" s="27"/>
      <c r="J834" s="389"/>
      <c r="Q834" s="5"/>
      <c r="R834" s="183"/>
    </row>
    <row r="835">
      <c r="D835" s="73"/>
      <c r="E835" s="285"/>
      <c r="F835" s="73"/>
      <c r="G835" s="286"/>
      <c r="H835" s="27"/>
      <c r="J835" s="389"/>
      <c r="Q835" s="5"/>
      <c r="R835" s="183"/>
    </row>
    <row r="836">
      <c r="D836" s="73"/>
      <c r="E836" s="285"/>
      <c r="F836" s="73"/>
      <c r="G836" s="286"/>
      <c r="H836" s="27"/>
      <c r="J836" s="389"/>
      <c r="Q836" s="5"/>
      <c r="R836" s="183"/>
    </row>
    <row r="837">
      <c r="D837" s="73"/>
      <c r="E837" s="285"/>
      <c r="F837" s="73"/>
      <c r="G837" s="286"/>
      <c r="H837" s="27"/>
      <c r="J837" s="389"/>
      <c r="Q837" s="5"/>
      <c r="R837" s="183"/>
    </row>
    <row r="838">
      <c r="D838" s="73"/>
      <c r="E838" s="285"/>
      <c r="F838" s="73"/>
      <c r="G838" s="286"/>
      <c r="H838" s="27"/>
      <c r="J838" s="389"/>
      <c r="Q838" s="5"/>
      <c r="R838" s="183"/>
    </row>
    <row r="839">
      <c r="D839" s="73"/>
      <c r="E839" s="285"/>
      <c r="F839" s="73"/>
      <c r="G839" s="286"/>
      <c r="H839" s="27"/>
      <c r="J839" s="389"/>
      <c r="Q839" s="5"/>
      <c r="R839" s="183"/>
    </row>
    <row r="840">
      <c r="D840" s="73"/>
      <c r="E840" s="285"/>
      <c r="F840" s="73"/>
      <c r="G840" s="286"/>
      <c r="H840" s="27"/>
      <c r="J840" s="389"/>
      <c r="Q840" s="5"/>
      <c r="R840" s="183"/>
    </row>
    <row r="841">
      <c r="D841" s="73"/>
      <c r="E841" s="285"/>
      <c r="F841" s="73"/>
      <c r="G841" s="286"/>
      <c r="H841" s="27"/>
      <c r="J841" s="389"/>
      <c r="Q841" s="5"/>
      <c r="R841" s="183"/>
    </row>
    <row r="842">
      <c r="D842" s="73"/>
      <c r="E842" s="285"/>
      <c r="F842" s="73"/>
      <c r="G842" s="286"/>
      <c r="H842" s="27"/>
      <c r="J842" s="389"/>
      <c r="Q842" s="5"/>
      <c r="R842" s="183"/>
    </row>
    <row r="843">
      <c r="D843" s="73"/>
      <c r="E843" s="285"/>
      <c r="F843" s="73"/>
      <c r="G843" s="286"/>
      <c r="H843" s="27"/>
      <c r="J843" s="389"/>
      <c r="Q843" s="5"/>
      <c r="R843" s="183"/>
    </row>
    <row r="844">
      <c r="D844" s="73"/>
      <c r="E844" s="285"/>
      <c r="F844" s="73"/>
      <c r="G844" s="286"/>
      <c r="H844" s="27"/>
      <c r="J844" s="389"/>
      <c r="Q844" s="5"/>
      <c r="R844" s="183"/>
    </row>
    <row r="845">
      <c r="D845" s="73"/>
      <c r="E845" s="285"/>
      <c r="F845" s="73"/>
      <c r="G845" s="286"/>
      <c r="H845" s="27"/>
      <c r="J845" s="389"/>
      <c r="Q845" s="5"/>
      <c r="R845" s="183"/>
    </row>
    <row r="846">
      <c r="D846" s="73"/>
      <c r="E846" s="285"/>
      <c r="F846" s="73"/>
      <c r="G846" s="286"/>
      <c r="H846" s="27"/>
      <c r="J846" s="389"/>
      <c r="Q846" s="5"/>
      <c r="R846" s="183"/>
    </row>
    <row r="847">
      <c r="D847" s="73"/>
      <c r="E847" s="285"/>
      <c r="F847" s="73"/>
      <c r="G847" s="286"/>
      <c r="H847" s="27"/>
      <c r="J847" s="389"/>
      <c r="Q847" s="5"/>
      <c r="R847" s="183"/>
    </row>
    <row r="848">
      <c r="D848" s="73"/>
      <c r="E848" s="285"/>
      <c r="F848" s="73"/>
      <c r="G848" s="286"/>
      <c r="H848" s="27"/>
      <c r="J848" s="389"/>
      <c r="Q848" s="5"/>
      <c r="R848" s="183"/>
    </row>
    <row r="849">
      <c r="D849" s="73"/>
      <c r="E849" s="285"/>
      <c r="F849" s="73"/>
      <c r="G849" s="286"/>
      <c r="H849" s="27"/>
      <c r="J849" s="389"/>
      <c r="Q849" s="5"/>
      <c r="R849" s="183"/>
    </row>
    <row r="850">
      <c r="D850" s="73"/>
      <c r="E850" s="285"/>
      <c r="F850" s="73"/>
      <c r="G850" s="286"/>
      <c r="H850" s="27"/>
      <c r="J850" s="389"/>
      <c r="Q850" s="5"/>
      <c r="R850" s="183"/>
    </row>
    <row r="851">
      <c r="D851" s="73"/>
      <c r="E851" s="285"/>
      <c r="F851" s="73"/>
      <c r="G851" s="286"/>
      <c r="H851" s="27"/>
      <c r="J851" s="389"/>
      <c r="Q851" s="5"/>
      <c r="R851" s="183"/>
    </row>
    <row r="852">
      <c r="D852" s="73"/>
      <c r="E852" s="285"/>
      <c r="F852" s="73"/>
      <c r="G852" s="286"/>
      <c r="H852" s="27"/>
      <c r="J852" s="389"/>
      <c r="Q852" s="5"/>
      <c r="R852" s="183"/>
    </row>
    <row r="853">
      <c r="D853" s="73"/>
      <c r="E853" s="285"/>
      <c r="F853" s="73"/>
      <c r="G853" s="286"/>
      <c r="H853" s="27"/>
      <c r="J853" s="389"/>
      <c r="Q853" s="5"/>
      <c r="R853" s="183"/>
    </row>
    <row r="854">
      <c r="D854" s="73"/>
      <c r="E854" s="285"/>
      <c r="F854" s="73"/>
      <c r="G854" s="286"/>
      <c r="H854" s="27"/>
      <c r="J854" s="389"/>
      <c r="Q854" s="5"/>
      <c r="R854" s="183"/>
    </row>
    <row r="855">
      <c r="D855" s="73"/>
      <c r="E855" s="285"/>
      <c r="F855" s="73"/>
      <c r="G855" s="286"/>
      <c r="H855" s="27"/>
      <c r="J855" s="389"/>
      <c r="Q855" s="5"/>
      <c r="R855" s="183"/>
    </row>
    <row r="856">
      <c r="D856" s="73"/>
      <c r="E856" s="285"/>
      <c r="F856" s="73"/>
      <c r="G856" s="286"/>
      <c r="H856" s="27"/>
      <c r="J856" s="389"/>
      <c r="Q856" s="5"/>
      <c r="R856" s="183"/>
    </row>
    <row r="857">
      <c r="D857" s="73"/>
      <c r="E857" s="285"/>
      <c r="F857" s="73"/>
      <c r="G857" s="286"/>
      <c r="H857" s="27"/>
      <c r="J857" s="389"/>
      <c r="Q857" s="5"/>
      <c r="R857" s="183"/>
    </row>
    <row r="858">
      <c r="D858" s="73"/>
      <c r="E858" s="285"/>
      <c r="F858" s="73"/>
      <c r="G858" s="286"/>
      <c r="H858" s="27"/>
      <c r="J858" s="389"/>
      <c r="Q858" s="5"/>
      <c r="R858" s="183"/>
    </row>
    <row r="859">
      <c r="D859" s="73"/>
      <c r="E859" s="285"/>
      <c r="F859" s="73"/>
      <c r="G859" s="286"/>
      <c r="H859" s="27"/>
      <c r="J859" s="389"/>
      <c r="Q859" s="5"/>
      <c r="R859" s="183"/>
    </row>
    <row r="860">
      <c r="D860" s="73"/>
      <c r="E860" s="285"/>
      <c r="F860" s="73"/>
      <c r="G860" s="286"/>
      <c r="H860" s="27"/>
      <c r="J860" s="389"/>
      <c r="Q860" s="5"/>
      <c r="R860" s="183"/>
    </row>
    <row r="861">
      <c r="D861" s="73"/>
      <c r="E861" s="285"/>
      <c r="F861" s="73"/>
      <c r="G861" s="286"/>
      <c r="H861" s="27"/>
      <c r="J861" s="389"/>
      <c r="Q861" s="5"/>
      <c r="R861" s="183"/>
    </row>
    <row r="862">
      <c r="D862" s="73"/>
      <c r="E862" s="285"/>
      <c r="F862" s="73"/>
      <c r="G862" s="286"/>
      <c r="H862" s="27"/>
      <c r="J862" s="389"/>
      <c r="Q862" s="5"/>
      <c r="R862" s="183"/>
    </row>
    <row r="863">
      <c r="D863" s="73"/>
      <c r="E863" s="285"/>
      <c r="F863" s="73"/>
      <c r="G863" s="286"/>
      <c r="H863" s="27"/>
      <c r="J863" s="389"/>
      <c r="Q863" s="5"/>
      <c r="R863" s="183"/>
    </row>
    <row r="864">
      <c r="D864" s="73"/>
      <c r="E864" s="285"/>
      <c r="F864" s="73"/>
      <c r="G864" s="286"/>
      <c r="H864" s="27"/>
      <c r="J864" s="389"/>
      <c r="Q864" s="5"/>
      <c r="R864" s="183"/>
    </row>
    <row r="865">
      <c r="D865" s="73"/>
      <c r="E865" s="285"/>
      <c r="F865" s="73"/>
      <c r="G865" s="286"/>
      <c r="H865" s="27"/>
      <c r="J865" s="389"/>
      <c r="Q865" s="5"/>
      <c r="R865" s="183"/>
    </row>
    <row r="866">
      <c r="D866" s="73"/>
      <c r="E866" s="285"/>
      <c r="F866" s="73"/>
      <c r="G866" s="286"/>
      <c r="H866" s="27"/>
      <c r="J866" s="389"/>
      <c r="Q866" s="5"/>
      <c r="R866" s="183"/>
    </row>
    <row r="867">
      <c r="D867" s="73"/>
      <c r="E867" s="285"/>
      <c r="F867" s="73"/>
      <c r="G867" s="286"/>
      <c r="H867" s="27"/>
      <c r="J867" s="389"/>
      <c r="Q867" s="5"/>
      <c r="R867" s="183"/>
    </row>
    <row r="868">
      <c r="D868" s="73"/>
      <c r="E868" s="285"/>
      <c r="F868" s="73"/>
      <c r="G868" s="286"/>
      <c r="H868" s="27"/>
      <c r="J868" s="389"/>
      <c r="Q868" s="5"/>
      <c r="R868" s="183"/>
    </row>
    <row r="869">
      <c r="D869" s="73"/>
      <c r="E869" s="285"/>
      <c r="F869" s="73"/>
      <c r="G869" s="286"/>
      <c r="H869" s="27"/>
      <c r="J869" s="389"/>
      <c r="Q869" s="5"/>
      <c r="R869" s="183"/>
    </row>
    <row r="870">
      <c r="D870" s="73"/>
      <c r="E870" s="285"/>
      <c r="F870" s="73"/>
      <c r="G870" s="286"/>
      <c r="H870" s="27"/>
      <c r="J870" s="389"/>
      <c r="Q870" s="5"/>
      <c r="R870" s="183"/>
    </row>
    <row r="871">
      <c r="D871" s="73"/>
      <c r="E871" s="285"/>
      <c r="F871" s="73"/>
      <c r="G871" s="286"/>
      <c r="H871" s="27"/>
      <c r="J871" s="389"/>
      <c r="Q871" s="5"/>
      <c r="R871" s="183"/>
    </row>
    <row r="872">
      <c r="D872" s="73"/>
      <c r="E872" s="285"/>
      <c r="F872" s="73"/>
      <c r="G872" s="286"/>
      <c r="H872" s="27"/>
      <c r="J872" s="389"/>
      <c r="Q872" s="5"/>
      <c r="R872" s="183"/>
    </row>
    <row r="873">
      <c r="D873" s="73"/>
      <c r="E873" s="285"/>
      <c r="F873" s="73"/>
      <c r="G873" s="286"/>
      <c r="H873" s="27"/>
      <c r="J873" s="389"/>
      <c r="Q873" s="5"/>
      <c r="R873" s="183"/>
    </row>
    <row r="874">
      <c r="D874" s="73"/>
      <c r="E874" s="285"/>
      <c r="F874" s="73"/>
      <c r="G874" s="286"/>
      <c r="H874" s="27"/>
      <c r="J874" s="389"/>
      <c r="Q874" s="5"/>
      <c r="R874" s="183"/>
    </row>
    <row r="875">
      <c r="D875" s="73"/>
      <c r="E875" s="285"/>
      <c r="F875" s="73"/>
      <c r="G875" s="286"/>
      <c r="H875" s="27"/>
      <c r="J875" s="389"/>
      <c r="Q875" s="5"/>
      <c r="R875" s="183"/>
    </row>
    <row r="876">
      <c r="D876" s="73"/>
      <c r="E876" s="285"/>
      <c r="F876" s="73"/>
      <c r="G876" s="286"/>
      <c r="H876" s="27"/>
      <c r="J876" s="389"/>
      <c r="Q876" s="5"/>
      <c r="R876" s="183"/>
    </row>
    <row r="877">
      <c r="D877" s="73"/>
      <c r="E877" s="285"/>
      <c r="F877" s="73"/>
      <c r="G877" s="286"/>
      <c r="H877" s="27"/>
      <c r="J877" s="389"/>
      <c r="Q877" s="5"/>
      <c r="R877" s="183"/>
    </row>
    <row r="878">
      <c r="D878" s="73"/>
      <c r="E878" s="285"/>
      <c r="F878" s="73"/>
      <c r="G878" s="286"/>
      <c r="H878" s="27"/>
      <c r="J878" s="389"/>
      <c r="Q878" s="5"/>
      <c r="R878" s="183"/>
    </row>
    <row r="879">
      <c r="D879" s="73"/>
      <c r="E879" s="285"/>
      <c r="F879" s="73"/>
      <c r="G879" s="286"/>
      <c r="H879" s="27"/>
      <c r="J879" s="389"/>
      <c r="Q879" s="5"/>
      <c r="R879" s="183"/>
    </row>
    <row r="880">
      <c r="D880" s="73"/>
      <c r="E880" s="285"/>
      <c r="F880" s="73"/>
      <c r="G880" s="286"/>
      <c r="H880" s="27"/>
      <c r="J880" s="389"/>
      <c r="Q880" s="5"/>
      <c r="R880" s="183"/>
    </row>
    <row r="881">
      <c r="D881" s="73"/>
      <c r="E881" s="285"/>
      <c r="F881" s="73"/>
      <c r="G881" s="286"/>
      <c r="H881" s="27"/>
      <c r="J881" s="389"/>
      <c r="Q881" s="5"/>
      <c r="R881" s="183"/>
    </row>
    <row r="882">
      <c r="D882" s="73"/>
      <c r="E882" s="285"/>
      <c r="F882" s="73"/>
      <c r="G882" s="286"/>
      <c r="H882" s="27"/>
      <c r="J882" s="389"/>
      <c r="Q882" s="5"/>
      <c r="R882" s="183"/>
    </row>
    <row r="883">
      <c r="D883" s="73"/>
      <c r="E883" s="285"/>
      <c r="F883" s="73"/>
      <c r="G883" s="286"/>
      <c r="H883" s="27"/>
      <c r="J883" s="389"/>
      <c r="Q883" s="5"/>
      <c r="R883" s="183"/>
    </row>
    <row r="884">
      <c r="D884" s="73"/>
      <c r="E884" s="285"/>
      <c r="F884" s="73"/>
      <c r="G884" s="286"/>
      <c r="H884" s="27"/>
      <c r="J884" s="389"/>
      <c r="Q884" s="5"/>
      <c r="R884" s="183"/>
    </row>
    <row r="885">
      <c r="D885" s="73"/>
      <c r="E885" s="285"/>
      <c r="F885" s="73"/>
      <c r="G885" s="286"/>
      <c r="H885" s="27"/>
      <c r="J885" s="389"/>
      <c r="Q885" s="5"/>
      <c r="R885" s="183"/>
    </row>
    <row r="886">
      <c r="D886" s="73"/>
      <c r="E886" s="285"/>
      <c r="F886" s="73"/>
      <c r="G886" s="286"/>
      <c r="H886" s="27"/>
      <c r="J886" s="389"/>
      <c r="Q886" s="5"/>
      <c r="R886" s="183"/>
    </row>
    <row r="887">
      <c r="D887" s="73"/>
      <c r="E887" s="285"/>
      <c r="F887" s="73"/>
      <c r="G887" s="286"/>
      <c r="H887" s="27"/>
      <c r="J887" s="389"/>
      <c r="Q887" s="5"/>
      <c r="R887" s="183"/>
    </row>
    <row r="888">
      <c r="D888" s="73"/>
      <c r="E888" s="285"/>
      <c r="F888" s="73"/>
      <c r="G888" s="286"/>
      <c r="H888" s="27"/>
      <c r="J888" s="389"/>
      <c r="Q888" s="5"/>
      <c r="R888" s="183"/>
    </row>
    <row r="889">
      <c r="D889" s="73"/>
      <c r="E889" s="285"/>
      <c r="F889" s="73"/>
      <c r="G889" s="286"/>
      <c r="H889" s="27"/>
      <c r="J889" s="389"/>
      <c r="Q889" s="5"/>
      <c r="R889" s="183"/>
    </row>
    <row r="890">
      <c r="D890" s="73"/>
      <c r="E890" s="285"/>
      <c r="F890" s="73"/>
      <c r="G890" s="286"/>
      <c r="H890" s="27"/>
      <c r="J890" s="389"/>
      <c r="Q890" s="5"/>
      <c r="R890" s="183"/>
    </row>
    <row r="891">
      <c r="D891" s="73"/>
      <c r="E891" s="285"/>
      <c r="F891" s="73"/>
      <c r="G891" s="286"/>
      <c r="H891" s="27"/>
      <c r="J891" s="389"/>
      <c r="Q891" s="5"/>
      <c r="R891" s="183"/>
    </row>
    <row r="892">
      <c r="D892" s="73"/>
      <c r="E892" s="285"/>
      <c r="F892" s="73"/>
      <c r="G892" s="286"/>
      <c r="H892" s="27"/>
      <c r="J892" s="389"/>
      <c r="Q892" s="5"/>
      <c r="R892" s="183"/>
    </row>
    <row r="893">
      <c r="D893" s="73"/>
      <c r="E893" s="285"/>
      <c r="F893" s="73"/>
      <c r="G893" s="286"/>
      <c r="H893" s="27"/>
      <c r="J893" s="389"/>
      <c r="Q893" s="5"/>
      <c r="R893" s="183"/>
    </row>
    <row r="894">
      <c r="D894" s="73"/>
      <c r="E894" s="285"/>
      <c r="F894" s="73"/>
      <c r="G894" s="286"/>
      <c r="H894" s="27"/>
      <c r="J894" s="389"/>
      <c r="Q894" s="5"/>
      <c r="R894" s="183"/>
    </row>
    <row r="895">
      <c r="D895" s="73"/>
      <c r="E895" s="285"/>
      <c r="F895" s="73"/>
      <c r="G895" s="286"/>
      <c r="H895" s="27"/>
      <c r="J895" s="389"/>
      <c r="Q895" s="5"/>
      <c r="R895" s="183"/>
    </row>
    <row r="896">
      <c r="D896" s="73"/>
      <c r="E896" s="285"/>
      <c r="F896" s="73"/>
      <c r="G896" s="286"/>
      <c r="H896" s="27"/>
      <c r="J896" s="389"/>
      <c r="Q896" s="5"/>
      <c r="R896" s="183"/>
    </row>
    <row r="897">
      <c r="D897" s="73"/>
      <c r="E897" s="285"/>
      <c r="F897" s="73"/>
      <c r="G897" s="286"/>
      <c r="H897" s="27"/>
      <c r="J897" s="389"/>
      <c r="Q897" s="5"/>
      <c r="R897" s="183"/>
    </row>
    <row r="898">
      <c r="D898" s="73"/>
      <c r="E898" s="285"/>
      <c r="F898" s="73"/>
      <c r="G898" s="286"/>
      <c r="H898" s="27"/>
      <c r="J898" s="389"/>
      <c r="Q898" s="5"/>
      <c r="R898" s="183"/>
    </row>
    <row r="899">
      <c r="D899" s="73"/>
      <c r="E899" s="285"/>
      <c r="F899" s="73"/>
      <c r="G899" s="286"/>
      <c r="H899" s="27"/>
      <c r="J899" s="389"/>
      <c r="Q899" s="5"/>
      <c r="R899" s="183"/>
    </row>
    <row r="900">
      <c r="D900" s="73"/>
      <c r="E900" s="285"/>
      <c r="F900" s="73"/>
      <c r="G900" s="286"/>
      <c r="H900" s="27"/>
      <c r="J900" s="389"/>
      <c r="Q900" s="5"/>
      <c r="R900" s="183"/>
    </row>
    <row r="901">
      <c r="D901" s="73"/>
      <c r="E901" s="285"/>
      <c r="F901" s="73"/>
      <c r="G901" s="286"/>
      <c r="H901" s="27"/>
      <c r="J901" s="389"/>
      <c r="Q901" s="5"/>
      <c r="R901" s="183"/>
    </row>
    <row r="902">
      <c r="D902" s="73"/>
      <c r="E902" s="285"/>
      <c r="F902" s="73"/>
      <c r="G902" s="286"/>
      <c r="H902" s="27"/>
      <c r="J902" s="389"/>
      <c r="Q902" s="5"/>
      <c r="R902" s="183"/>
    </row>
    <row r="903">
      <c r="D903" s="73"/>
      <c r="E903" s="285"/>
      <c r="F903" s="73"/>
      <c r="G903" s="286"/>
      <c r="H903" s="27"/>
      <c r="J903" s="389"/>
      <c r="Q903" s="5"/>
      <c r="R903" s="183"/>
    </row>
    <row r="904">
      <c r="D904" s="73"/>
      <c r="E904" s="285"/>
      <c r="F904" s="73"/>
      <c r="G904" s="286"/>
      <c r="H904" s="27"/>
      <c r="J904" s="389"/>
      <c r="Q904" s="5"/>
      <c r="R904" s="183"/>
    </row>
    <row r="905">
      <c r="D905" s="73"/>
      <c r="E905" s="285"/>
      <c r="F905" s="73"/>
      <c r="G905" s="286"/>
      <c r="H905" s="27"/>
      <c r="J905" s="389"/>
      <c r="Q905" s="5"/>
      <c r="R905" s="183"/>
    </row>
    <row r="906">
      <c r="D906" s="73"/>
      <c r="E906" s="285"/>
      <c r="F906" s="73"/>
      <c r="G906" s="286"/>
      <c r="H906" s="27"/>
      <c r="J906" s="389"/>
      <c r="Q906" s="5"/>
      <c r="R906" s="183"/>
    </row>
    <row r="907">
      <c r="D907" s="73"/>
      <c r="E907" s="285"/>
      <c r="F907" s="73"/>
      <c r="G907" s="286"/>
      <c r="H907" s="27"/>
      <c r="J907" s="389"/>
      <c r="Q907" s="5"/>
      <c r="R907" s="183"/>
    </row>
    <row r="908">
      <c r="D908" s="73"/>
      <c r="E908" s="285"/>
      <c r="F908" s="73"/>
      <c r="G908" s="286"/>
      <c r="H908" s="27"/>
      <c r="J908" s="389"/>
      <c r="Q908" s="5"/>
      <c r="R908" s="183"/>
    </row>
    <row r="909">
      <c r="D909" s="73"/>
      <c r="E909" s="285"/>
      <c r="F909" s="73"/>
      <c r="G909" s="286"/>
      <c r="H909" s="27"/>
      <c r="J909" s="389"/>
      <c r="Q909" s="5"/>
      <c r="R909" s="183"/>
    </row>
    <row r="910">
      <c r="D910" s="73"/>
      <c r="E910" s="285"/>
      <c r="F910" s="73"/>
      <c r="G910" s="286"/>
      <c r="H910" s="27"/>
      <c r="J910" s="389"/>
      <c r="Q910" s="5"/>
      <c r="R910" s="183"/>
    </row>
    <row r="911">
      <c r="D911" s="73"/>
      <c r="E911" s="285"/>
      <c r="F911" s="73"/>
      <c r="G911" s="286"/>
      <c r="H911" s="27"/>
      <c r="J911" s="389"/>
      <c r="Q911" s="5"/>
      <c r="R911" s="183"/>
    </row>
    <row r="912">
      <c r="D912" s="73"/>
      <c r="E912" s="285"/>
      <c r="F912" s="73"/>
      <c r="G912" s="286"/>
      <c r="H912" s="27"/>
      <c r="J912" s="389"/>
      <c r="Q912" s="5"/>
      <c r="R912" s="183"/>
    </row>
    <row r="913">
      <c r="D913" s="73"/>
      <c r="E913" s="285"/>
      <c r="F913" s="73"/>
      <c r="G913" s="286"/>
      <c r="H913" s="27"/>
      <c r="J913" s="389"/>
      <c r="Q913" s="5"/>
      <c r="R913" s="183"/>
    </row>
    <row r="914">
      <c r="D914" s="73"/>
      <c r="E914" s="285"/>
      <c r="F914" s="73"/>
      <c r="G914" s="286"/>
      <c r="H914" s="27"/>
      <c r="J914" s="389"/>
      <c r="Q914" s="5"/>
      <c r="R914" s="183"/>
    </row>
    <row r="915">
      <c r="D915" s="73"/>
      <c r="E915" s="285"/>
      <c r="F915" s="73"/>
      <c r="G915" s="286"/>
      <c r="H915" s="27"/>
      <c r="J915" s="389"/>
      <c r="Q915" s="5"/>
      <c r="R915" s="183"/>
    </row>
    <row r="916">
      <c r="D916" s="73"/>
      <c r="E916" s="285"/>
      <c r="F916" s="73"/>
      <c r="G916" s="286"/>
      <c r="H916" s="27"/>
      <c r="J916" s="389"/>
      <c r="Q916" s="5"/>
      <c r="R916" s="183"/>
    </row>
    <row r="917">
      <c r="D917" s="73"/>
      <c r="E917" s="285"/>
      <c r="F917" s="73"/>
      <c r="G917" s="286"/>
      <c r="H917" s="27"/>
      <c r="J917" s="389"/>
      <c r="Q917" s="5"/>
      <c r="R917" s="183"/>
    </row>
    <row r="918">
      <c r="D918" s="73"/>
      <c r="E918" s="285"/>
      <c r="F918" s="73"/>
      <c r="G918" s="286"/>
      <c r="H918" s="27"/>
      <c r="J918" s="389"/>
      <c r="Q918" s="5"/>
      <c r="R918" s="183"/>
    </row>
    <row r="919">
      <c r="D919" s="73"/>
      <c r="E919" s="285"/>
      <c r="F919" s="73"/>
      <c r="G919" s="286"/>
      <c r="H919" s="27"/>
      <c r="J919" s="389"/>
      <c r="Q919" s="5"/>
      <c r="R919" s="183"/>
    </row>
    <row r="920">
      <c r="D920" s="73"/>
      <c r="E920" s="285"/>
      <c r="F920" s="73"/>
      <c r="G920" s="286"/>
      <c r="H920" s="27"/>
      <c r="J920" s="389"/>
      <c r="Q920" s="5"/>
      <c r="R920" s="183"/>
    </row>
    <row r="921">
      <c r="D921" s="73"/>
      <c r="E921" s="285"/>
      <c r="F921" s="73"/>
      <c r="G921" s="286"/>
      <c r="H921" s="27"/>
      <c r="J921" s="389"/>
      <c r="Q921" s="5"/>
      <c r="R921" s="183"/>
    </row>
    <row r="922">
      <c r="D922" s="73"/>
      <c r="E922" s="285"/>
      <c r="F922" s="73"/>
      <c r="G922" s="286"/>
      <c r="H922" s="27"/>
      <c r="J922" s="389"/>
      <c r="Q922" s="5"/>
      <c r="R922" s="183"/>
    </row>
    <row r="923">
      <c r="D923" s="73"/>
      <c r="E923" s="285"/>
      <c r="F923" s="73"/>
      <c r="G923" s="286"/>
      <c r="H923" s="27"/>
      <c r="J923" s="389"/>
      <c r="Q923" s="5"/>
      <c r="R923" s="183"/>
    </row>
    <row r="924">
      <c r="D924" s="73"/>
      <c r="E924" s="285"/>
      <c r="F924" s="73"/>
      <c r="G924" s="286"/>
      <c r="H924" s="27"/>
      <c r="J924" s="389"/>
      <c r="Q924" s="5"/>
      <c r="R924" s="183"/>
    </row>
    <row r="925">
      <c r="D925" s="73"/>
      <c r="E925" s="285"/>
      <c r="F925" s="73"/>
      <c r="G925" s="286"/>
      <c r="H925" s="27"/>
      <c r="J925" s="389"/>
      <c r="Q925" s="5"/>
      <c r="R925" s="183"/>
    </row>
    <row r="926">
      <c r="D926" s="73"/>
      <c r="E926" s="285"/>
      <c r="F926" s="73"/>
      <c r="G926" s="286"/>
      <c r="H926" s="27"/>
      <c r="J926" s="389"/>
      <c r="Q926" s="5"/>
      <c r="R926" s="183"/>
    </row>
    <row r="927">
      <c r="D927" s="73"/>
      <c r="E927" s="285"/>
      <c r="F927" s="73"/>
      <c r="G927" s="286"/>
      <c r="H927" s="27"/>
      <c r="J927" s="389"/>
      <c r="Q927" s="5"/>
      <c r="R927" s="183"/>
    </row>
    <row r="928">
      <c r="D928" s="73"/>
      <c r="E928" s="285"/>
      <c r="F928" s="73"/>
      <c r="G928" s="286"/>
      <c r="H928" s="27"/>
      <c r="J928" s="389"/>
      <c r="Q928" s="5"/>
      <c r="R928" s="183"/>
    </row>
    <row r="929">
      <c r="D929" s="73"/>
      <c r="E929" s="285"/>
      <c r="F929" s="73"/>
      <c r="G929" s="286"/>
      <c r="H929" s="27"/>
      <c r="J929" s="389"/>
      <c r="Q929" s="5"/>
      <c r="R929" s="183"/>
    </row>
    <row r="930">
      <c r="D930" s="73"/>
      <c r="E930" s="285"/>
      <c r="F930" s="73"/>
      <c r="G930" s="286"/>
      <c r="H930" s="27"/>
      <c r="J930" s="389"/>
      <c r="Q930" s="5"/>
      <c r="R930" s="183"/>
    </row>
    <row r="931">
      <c r="D931" s="73"/>
      <c r="E931" s="285"/>
      <c r="F931" s="73"/>
      <c r="G931" s="286"/>
      <c r="H931" s="27"/>
      <c r="J931" s="389"/>
      <c r="Q931" s="5"/>
      <c r="R931" s="183"/>
    </row>
    <row r="932">
      <c r="D932" s="73"/>
      <c r="E932" s="285"/>
      <c r="F932" s="73"/>
      <c r="G932" s="286"/>
      <c r="H932" s="27"/>
      <c r="J932" s="389"/>
      <c r="Q932" s="5"/>
      <c r="R932" s="183"/>
    </row>
    <row r="933">
      <c r="D933" s="73"/>
      <c r="E933" s="285"/>
      <c r="F933" s="73"/>
      <c r="G933" s="286"/>
      <c r="H933" s="27"/>
      <c r="J933" s="389"/>
      <c r="Q933" s="5"/>
      <c r="R933" s="183"/>
    </row>
    <row r="934">
      <c r="D934" s="73"/>
      <c r="E934" s="285"/>
      <c r="F934" s="73"/>
      <c r="G934" s="286"/>
      <c r="H934" s="27"/>
      <c r="J934" s="389"/>
      <c r="Q934" s="5"/>
      <c r="R934" s="183"/>
    </row>
    <row r="935">
      <c r="D935" s="73"/>
      <c r="E935" s="285"/>
      <c r="F935" s="73"/>
      <c r="G935" s="286"/>
      <c r="H935" s="27"/>
      <c r="J935" s="389"/>
      <c r="Q935" s="5"/>
      <c r="R935" s="183"/>
    </row>
    <row r="936">
      <c r="D936" s="73"/>
      <c r="E936" s="285"/>
      <c r="F936" s="73"/>
      <c r="G936" s="286"/>
      <c r="H936" s="27"/>
      <c r="J936" s="389"/>
      <c r="Q936" s="5"/>
      <c r="R936" s="183"/>
    </row>
    <row r="937">
      <c r="D937" s="73"/>
      <c r="E937" s="285"/>
      <c r="F937" s="73"/>
      <c r="G937" s="286"/>
      <c r="H937" s="27"/>
      <c r="J937" s="389"/>
      <c r="Q937" s="5"/>
      <c r="R937" s="183"/>
    </row>
    <row r="938">
      <c r="D938" s="73"/>
      <c r="E938" s="285"/>
      <c r="F938" s="73"/>
      <c r="G938" s="286"/>
      <c r="H938" s="27"/>
      <c r="J938" s="389"/>
      <c r="Q938" s="5"/>
      <c r="R938" s="183"/>
    </row>
    <row r="939">
      <c r="D939" s="73"/>
      <c r="E939" s="285"/>
      <c r="F939" s="73"/>
      <c r="G939" s="286"/>
      <c r="H939" s="27"/>
      <c r="J939" s="389"/>
      <c r="Q939" s="5"/>
      <c r="R939" s="183"/>
    </row>
    <row r="940">
      <c r="D940" s="73"/>
      <c r="E940" s="285"/>
      <c r="F940" s="73"/>
      <c r="G940" s="286"/>
      <c r="H940" s="27"/>
      <c r="J940" s="389"/>
      <c r="Q940" s="5"/>
      <c r="R940" s="183"/>
    </row>
    <row r="941">
      <c r="D941" s="73"/>
      <c r="E941" s="285"/>
      <c r="F941" s="73"/>
      <c r="G941" s="286"/>
      <c r="H941" s="27"/>
      <c r="J941" s="389"/>
      <c r="Q941" s="5"/>
      <c r="R941" s="183"/>
    </row>
    <row r="942">
      <c r="D942" s="73"/>
      <c r="E942" s="285"/>
      <c r="F942" s="73"/>
      <c r="G942" s="286"/>
      <c r="H942" s="27"/>
      <c r="J942" s="389"/>
      <c r="Q942" s="5"/>
      <c r="R942" s="183"/>
    </row>
    <row r="943">
      <c r="D943" s="73"/>
      <c r="E943" s="285"/>
      <c r="F943" s="73"/>
      <c r="G943" s="286"/>
      <c r="H943" s="27"/>
      <c r="J943" s="389"/>
      <c r="Q943" s="5"/>
      <c r="R943" s="183"/>
    </row>
    <row r="944">
      <c r="D944" s="73"/>
      <c r="E944" s="285"/>
      <c r="F944" s="73"/>
      <c r="G944" s="286"/>
      <c r="H944" s="27"/>
      <c r="J944" s="389"/>
      <c r="Q944" s="5"/>
      <c r="R944" s="183"/>
    </row>
    <row r="945">
      <c r="D945" s="73"/>
      <c r="E945" s="285"/>
      <c r="F945" s="73"/>
      <c r="G945" s="286"/>
      <c r="H945" s="27"/>
      <c r="J945" s="389"/>
      <c r="Q945" s="5"/>
      <c r="R945" s="183"/>
    </row>
    <row r="946">
      <c r="D946" s="73"/>
      <c r="E946" s="285"/>
      <c r="F946" s="73"/>
      <c r="G946" s="286"/>
      <c r="H946" s="27"/>
      <c r="J946" s="389"/>
      <c r="Q946" s="5"/>
      <c r="R946" s="183"/>
    </row>
    <row r="947">
      <c r="D947" s="73"/>
      <c r="E947" s="285"/>
      <c r="F947" s="73"/>
      <c r="G947" s="286"/>
      <c r="H947" s="27"/>
      <c r="J947" s="389"/>
      <c r="Q947" s="5"/>
      <c r="R947" s="183"/>
    </row>
    <row r="948">
      <c r="D948" s="73"/>
      <c r="E948" s="285"/>
      <c r="F948" s="73"/>
      <c r="G948" s="286"/>
      <c r="H948" s="27"/>
      <c r="J948" s="389"/>
      <c r="Q948" s="5"/>
      <c r="R948" s="183"/>
    </row>
    <row r="949">
      <c r="D949" s="73"/>
      <c r="E949" s="285"/>
      <c r="F949" s="73"/>
      <c r="G949" s="286"/>
      <c r="H949" s="27"/>
      <c r="J949" s="389"/>
      <c r="Q949" s="5"/>
      <c r="R949" s="183"/>
    </row>
    <row r="950">
      <c r="D950" s="73"/>
      <c r="E950" s="285"/>
      <c r="F950" s="73"/>
      <c r="G950" s="286"/>
      <c r="H950" s="27"/>
      <c r="J950" s="389"/>
      <c r="Q950" s="5"/>
      <c r="R950" s="183"/>
    </row>
    <row r="951">
      <c r="D951" s="73"/>
      <c r="E951" s="285"/>
      <c r="F951" s="73"/>
      <c r="G951" s="286"/>
      <c r="H951" s="27"/>
      <c r="J951" s="389"/>
      <c r="Q951" s="5"/>
      <c r="R951" s="183"/>
    </row>
    <row r="952">
      <c r="D952" s="73"/>
      <c r="E952" s="285"/>
      <c r="F952" s="73"/>
      <c r="G952" s="286"/>
      <c r="H952" s="27"/>
      <c r="J952" s="389"/>
      <c r="Q952" s="5"/>
      <c r="R952" s="183"/>
    </row>
    <row r="953">
      <c r="D953" s="73"/>
      <c r="E953" s="285"/>
      <c r="F953" s="73"/>
      <c r="G953" s="286"/>
      <c r="H953" s="27"/>
      <c r="J953" s="389"/>
      <c r="Q953" s="5"/>
      <c r="R953" s="183"/>
    </row>
    <row r="954">
      <c r="D954" s="73"/>
      <c r="E954" s="285"/>
      <c r="F954" s="73"/>
      <c r="G954" s="286"/>
      <c r="H954" s="27"/>
      <c r="J954" s="389"/>
      <c r="Q954" s="5"/>
      <c r="R954" s="183"/>
    </row>
    <row r="955">
      <c r="D955" s="73"/>
      <c r="E955" s="285"/>
      <c r="F955" s="73"/>
      <c r="G955" s="286"/>
      <c r="H955" s="27"/>
      <c r="J955" s="389"/>
      <c r="Q955" s="5"/>
      <c r="R955" s="183"/>
    </row>
    <row r="956">
      <c r="D956" s="73"/>
      <c r="E956" s="285"/>
      <c r="F956" s="73"/>
      <c r="G956" s="286"/>
      <c r="H956" s="27"/>
      <c r="J956" s="389"/>
      <c r="Q956" s="5"/>
      <c r="R956" s="183"/>
    </row>
    <row r="957">
      <c r="D957" s="73"/>
      <c r="E957" s="285"/>
      <c r="F957" s="73"/>
      <c r="G957" s="286"/>
      <c r="H957" s="27"/>
      <c r="J957" s="389"/>
      <c r="Q957" s="5"/>
      <c r="R957" s="183"/>
    </row>
    <row r="958">
      <c r="D958" s="73"/>
      <c r="E958" s="285"/>
      <c r="F958" s="73"/>
      <c r="G958" s="286"/>
      <c r="H958" s="27"/>
      <c r="J958" s="389"/>
      <c r="Q958" s="5"/>
      <c r="R958" s="183"/>
    </row>
    <row r="959">
      <c r="D959" s="73"/>
      <c r="E959" s="285"/>
      <c r="F959" s="73"/>
      <c r="G959" s="286"/>
      <c r="H959" s="27"/>
      <c r="J959" s="389"/>
      <c r="Q959" s="5"/>
      <c r="R959" s="183"/>
    </row>
    <row r="960">
      <c r="D960" s="73"/>
      <c r="E960" s="285"/>
      <c r="F960" s="73"/>
      <c r="G960" s="286"/>
      <c r="H960" s="27"/>
      <c r="J960" s="389"/>
      <c r="Q960" s="5"/>
      <c r="R960" s="183"/>
    </row>
    <row r="961">
      <c r="D961" s="73"/>
      <c r="E961" s="285"/>
      <c r="F961" s="73"/>
      <c r="G961" s="286"/>
      <c r="H961" s="27"/>
      <c r="J961" s="389"/>
      <c r="Q961" s="5"/>
      <c r="R961" s="183"/>
    </row>
    <row r="962">
      <c r="D962" s="73"/>
      <c r="E962" s="285"/>
      <c r="F962" s="73"/>
      <c r="G962" s="286"/>
      <c r="H962" s="27"/>
      <c r="J962" s="389"/>
      <c r="Q962" s="5"/>
      <c r="R962" s="183"/>
    </row>
    <row r="963">
      <c r="D963" s="73"/>
      <c r="E963" s="285"/>
      <c r="F963" s="73"/>
      <c r="G963" s="286"/>
      <c r="H963" s="27"/>
      <c r="J963" s="389"/>
      <c r="Q963" s="5"/>
      <c r="R963" s="183"/>
    </row>
    <row r="964">
      <c r="D964" s="73"/>
      <c r="E964" s="285"/>
      <c r="F964" s="73"/>
      <c r="G964" s="286"/>
      <c r="H964" s="27"/>
      <c r="J964" s="389"/>
      <c r="Q964" s="5"/>
      <c r="R964" s="183"/>
    </row>
    <row r="965">
      <c r="D965" s="73"/>
      <c r="E965" s="285"/>
      <c r="F965" s="73"/>
      <c r="G965" s="286"/>
      <c r="H965" s="27"/>
      <c r="J965" s="389"/>
      <c r="Q965" s="5"/>
      <c r="R965" s="183"/>
    </row>
    <row r="966">
      <c r="D966" s="73"/>
      <c r="E966" s="285"/>
      <c r="F966" s="73"/>
      <c r="G966" s="286"/>
      <c r="H966" s="27"/>
      <c r="J966" s="389"/>
      <c r="Q966" s="5"/>
      <c r="R966" s="183"/>
    </row>
    <row r="967">
      <c r="D967" s="73"/>
      <c r="E967" s="285"/>
      <c r="F967" s="73"/>
      <c r="G967" s="286"/>
      <c r="H967" s="27"/>
      <c r="J967" s="389"/>
      <c r="Q967" s="5"/>
      <c r="R967" s="183"/>
    </row>
    <row r="968">
      <c r="D968" s="73"/>
      <c r="E968" s="285"/>
      <c r="F968" s="73"/>
      <c r="G968" s="286"/>
      <c r="H968" s="27"/>
      <c r="J968" s="389"/>
      <c r="Q968" s="5"/>
      <c r="R968" s="183"/>
    </row>
    <row r="969">
      <c r="D969" s="73"/>
      <c r="E969" s="285"/>
      <c r="F969" s="73"/>
      <c r="G969" s="286"/>
      <c r="H969" s="27"/>
      <c r="J969" s="389"/>
      <c r="Q969" s="5"/>
      <c r="R969" s="183"/>
    </row>
    <row r="970">
      <c r="D970" s="73"/>
      <c r="E970" s="285"/>
      <c r="F970" s="73"/>
      <c r="G970" s="286"/>
      <c r="H970" s="27"/>
      <c r="J970" s="389"/>
      <c r="Q970" s="5"/>
      <c r="R970" s="183"/>
    </row>
    <row r="971">
      <c r="D971" s="73"/>
      <c r="E971" s="285"/>
      <c r="F971" s="73"/>
      <c r="G971" s="286"/>
      <c r="H971" s="27"/>
      <c r="J971" s="389"/>
      <c r="Q971" s="5"/>
      <c r="R971" s="183"/>
    </row>
    <row r="972">
      <c r="D972" s="73"/>
      <c r="E972" s="285"/>
      <c r="F972" s="73"/>
      <c r="G972" s="286"/>
      <c r="H972" s="27"/>
      <c r="J972" s="389"/>
      <c r="Q972" s="5"/>
      <c r="R972" s="183"/>
    </row>
    <row r="973">
      <c r="D973" s="73"/>
      <c r="E973" s="285"/>
      <c r="F973" s="73"/>
      <c r="G973" s="286"/>
      <c r="H973" s="27"/>
      <c r="J973" s="389"/>
      <c r="Q973" s="5"/>
      <c r="R973" s="183"/>
    </row>
    <row r="974">
      <c r="D974" s="73"/>
      <c r="E974" s="285"/>
      <c r="F974" s="73"/>
      <c r="G974" s="286"/>
      <c r="H974" s="27"/>
      <c r="J974" s="389"/>
      <c r="Q974" s="5"/>
      <c r="R974" s="183"/>
    </row>
    <row r="975">
      <c r="D975" s="73"/>
      <c r="E975" s="285"/>
      <c r="F975" s="73"/>
      <c r="G975" s="286"/>
      <c r="H975" s="27"/>
      <c r="J975" s="389"/>
      <c r="Q975" s="5"/>
      <c r="R975" s="183"/>
    </row>
    <row r="976">
      <c r="D976" s="73"/>
      <c r="E976" s="285"/>
      <c r="F976" s="73"/>
      <c r="G976" s="286"/>
      <c r="H976" s="27"/>
      <c r="J976" s="389"/>
      <c r="Q976" s="5"/>
      <c r="R976" s="183"/>
    </row>
    <row r="977">
      <c r="D977" s="73"/>
      <c r="E977" s="285"/>
      <c r="F977" s="73"/>
      <c r="G977" s="286"/>
      <c r="H977" s="27"/>
      <c r="J977" s="389"/>
      <c r="Q977" s="5"/>
      <c r="R977" s="183"/>
    </row>
    <row r="978">
      <c r="D978" s="73"/>
      <c r="E978" s="285"/>
      <c r="F978" s="73"/>
      <c r="G978" s="286"/>
      <c r="H978" s="27"/>
      <c r="J978" s="389"/>
      <c r="Q978" s="5"/>
      <c r="R978" s="183"/>
    </row>
    <row r="979">
      <c r="D979" s="73"/>
      <c r="E979" s="285"/>
      <c r="F979" s="73"/>
      <c r="G979" s="286"/>
      <c r="H979" s="27"/>
      <c r="J979" s="389"/>
      <c r="Q979" s="5"/>
      <c r="R979" s="183"/>
    </row>
    <row r="980">
      <c r="D980" s="73"/>
      <c r="E980" s="285"/>
      <c r="F980" s="73"/>
      <c r="G980" s="286"/>
      <c r="H980" s="27"/>
      <c r="J980" s="389"/>
      <c r="Q980" s="5"/>
      <c r="R980" s="183"/>
    </row>
    <row r="981">
      <c r="D981" s="73"/>
      <c r="E981" s="285"/>
      <c r="F981" s="73"/>
      <c r="G981" s="286"/>
      <c r="H981" s="27"/>
      <c r="J981" s="389"/>
      <c r="Q981" s="5"/>
      <c r="R981" s="183"/>
    </row>
    <row r="982">
      <c r="D982" s="73"/>
      <c r="E982" s="285"/>
      <c r="F982" s="73"/>
      <c r="G982" s="286"/>
      <c r="H982" s="27"/>
      <c r="J982" s="389"/>
      <c r="Q982" s="5"/>
      <c r="R982" s="183"/>
    </row>
    <row r="983">
      <c r="D983" s="73"/>
      <c r="E983" s="285"/>
      <c r="F983" s="73"/>
      <c r="G983" s="286"/>
      <c r="H983" s="27"/>
      <c r="J983" s="389"/>
      <c r="Q983" s="5"/>
      <c r="R983" s="183"/>
    </row>
    <row r="984">
      <c r="D984" s="73"/>
      <c r="E984" s="285"/>
      <c r="F984" s="73"/>
      <c r="G984" s="286"/>
      <c r="H984" s="27"/>
      <c r="J984" s="389"/>
      <c r="Q984" s="5"/>
      <c r="R984" s="183"/>
    </row>
    <row r="985">
      <c r="D985" s="73"/>
      <c r="E985" s="285"/>
      <c r="F985" s="73"/>
      <c r="G985" s="286"/>
      <c r="H985" s="27"/>
      <c r="J985" s="389"/>
      <c r="Q985" s="5"/>
      <c r="R985" s="183"/>
    </row>
    <row r="986">
      <c r="D986" s="73"/>
      <c r="E986" s="285"/>
      <c r="F986" s="73"/>
      <c r="G986" s="286"/>
      <c r="H986" s="27"/>
      <c r="J986" s="389"/>
      <c r="Q986" s="5"/>
      <c r="R986" s="183"/>
    </row>
    <row r="987">
      <c r="D987" s="73"/>
      <c r="E987" s="285"/>
      <c r="F987" s="73"/>
      <c r="G987" s="286"/>
      <c r="H987" s="27"/>
      <c r="J987" s="389"/>
      <c r="Q987" s="5"/>
      <c r="R987" s="183"/>
    </row>
    <row r="988">
      <c r="D988" s="73"/>
      <c r="E988" s="285"/>
      <c r="F988" s="73"/>
      <c r="G988" s="286"/>
      <c r="H988" s="27"/>
      <c r="J988" s="389"/>
      <c r="Q988" s="5"/>
      <c r="R988" s="183"/>
    </row>
    <row r="989">
      <c r="D989" s="73"/>
      <c r="E989" s="285"/>
      <c r="F989" s="73"/>
      <c r="G989" s="286"/>
      <c r="H989" s="27"/>
      <c r="J989" s="389"/>
      <c r="Q989" s="5"/>
      <c r="R989" s="183"/>
    </row>
    <row r="990">
      <c r="D990" s="73"/>
      <c r="E990" s="285"/>
      <c r="F990" s="73"/>
      <c r="G990" s="286"/>
      <c r="H990" s="27"/>
      <c r="J990" s="389"/>
      <c r="Q990" s="5"/>
      <c r="R990" s="183"/>
    </row>
    <row r="991">
      <c r="D991" s="73"/>
      <c r="E991" s="285"/>
      <c r="F991" s="73"/>
      <c r="G991" s="286"/>
      <c r="H991" s="27"/>
      <c r="J991" s="389"/>
      <c r="Q991" s="5"/>
      <c r="R991" s="183"/>
    </row>
    <row r="992">
      <c r="D992" s="73"/>
      <c r="E992" s="285"/>
      <c r="F992" s="73"/>
      <c r="G992" s="286"/>
      <c r="H992" s="27"/>
      <c r="J992" s="389"/>
      <c r="Q992" s="5"/>
      <c r="R992" s="183"/>
    </row>
    <row r="993">
      <c r="D993" s="73"/>
      <c r="E993" s="285"/>
      <c r="F993" s="73"/>
      <c r="G993" s="286"/>
      <c r="H993" s="27"/>
      <c r="J993" s="389"/>
      <c r="Q993" s="5"/>
      <c r="R993" s="183"/>
    </row>
    <row r="994">
      <c r="D994" s="73"/>
      <c r="E994" s="285"/>
      <c r="F994" s="73"/>
      <c r="G994" s="286"/>
      <c r="H994" s="27"/>
      <c r="J994" s="389"/>
      <c r="Q994" s="5"/>
      <c r="R994" s="183"/>
    </row>
    <row r="995">
      <c r="D995" s="73"/>
      <c r="E995" s="285"/>
      <c r="F995" s="73"/>
      <c r="G995" s="286"/>
      <c r="H995" s="27"/>
      <c r="J995" s="389"/>
      <c r="Q995" s="5"/>
      <c r="R995" s="183"/>
    </row>
    <row r="996">
      <c r="D996" s="73"/>
      <c r="E996" s="285"/>
      <c r="F996" s="73"/>
      <c r="G996" s="286"/>
      <c r="H996" s="27"/>
      <c r="J996" s="389"/>
      <c r="Q996" s="5"/>
      <c r="R996" s="183"/>
    </row>
    <row r="997">
      <c r="D997" s="73"/>
      <c r="E997" s="285"/>
      <c r="F997" s="73"/>
      <c r="G997" s="286"/>
      <c r="H997" s="27"/>
      <c r="J997" s="389"/>
      <c r="Q997" s="5"/>
      <c r="R997" s="183"/>
    </row>
    <row r="998">
      <c r="D998" s="73"/>
      <c r="E998" s="285"/>
      <c r="F998" s="73"/>
      <c r="G998" s="286"/>
      <c r="H998" s="27"/>
      <c r="J998" s="389"/>
      <c r="Q998" s="5"/>
      <c r="R998" s="183"/>
    </row>
    <row r="999">
      <c r="D999" s="73"/>
      <c r="E999" s="285"/>
      <c r="F999" s="73"/>
      <c r="G999" s="286"/>
      <c r="H999" s="27"/>
      <c r="J999" s="389"/>
      <c r="Q999" s="5"/>
      <c r="R999" s="183"/>
    </row>
    <row r="1000">
      <c r="D1000" s="73"/>
      <c r="E1000" s="285"/>
      <c r="F1000" s="73"/>
      <c r="G1000" s="286"/>
      <c r="H1000" s="27"/>
      <c r="J1000" s="389"/>
      <c r="Q1000" s="5"/>
      <c r="R1000" s="183"/>
    </row>
    <row r="1001">
      <c r="D1001" s="73"/>
      <c r="E1001" s="285"/>
      <c r="F1001" s="73"/>
      <c r="G1001" s="286"/>
      <c r="H1001" s="27"/>
      <c r="J1001" s="389"/>
      <c r="Q1001" s="5"/>
      <c r="R1001" s="183"/>
    </row>
    <row r="1002">
      <c r="D1002" s="73"/>
      <c r="E1002" s="285"/>
      <c r="F1002" s="73"/>
      <c r="G1002" s="286"/>
      <c r="H1002" s="27"/>
      <c r="J1002" s="389"/>
      <c r="Q1002" s="5"/>
      <c r="R1002" s="183"/>
    </row>
    <row r="1003">
      <c r="D1003" s="73"/>
      <c r="E1003" s="285"/>
      <c r="F1003" s="73"/>
      <c r="G1003" s="286"/>
      <c r="H1003" s="27"/>
      <c r="J1003" s="389"/>
      <c r="Q1003" s="5"/>
      <c r="R1003" s="183"/>
    </row>
    <row r="1004">
      <c r="D1004" s="73"/>
      <c r="E1004" s="285"/>
      <c r="F1004" s="73"/>
      <c r="G1004" s="286"/>
      <c r="H1004" s="27"/>
      <c r="J1004" s="389"/>
      <c r="Q1004" s="5"/>
      <c r="R1004" s="183"/>
    </row>
  </sheetData>
  <mergeCells count="11">
    <mergeCell ref="A7:B7"/>
    <mergeCell ref="D7:E7"/>
    <mergeCell ref="A12:H12"/>
    <mergeCell ref="I12:N12"/>
    <mergeCell ref="A1:B1"/>
    <mergeCell ref="D1:F1"/>
    <mergeCell ref="H1:I1"/>
    <mergeCell ref="K1:O1"/>
    <mergeCell ref="Q1:R1"/>
    <mergeCell ref="D3:D5"/>
    <mergeCell ref="L6:N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8.0"/>
    <col customWidth="1" min="2" max="2" width="11.5"/>
    <col customWidth="1" min="3" max="3" width="30.0"/>
    <col customWidth="1" min="4" max="4" width="20.75"/>
    <col customWidth="1" min="5" max="5" width="13.38"/>
    <col customWidth="1" min="6" max="6" width="28.88"/>
    <col customWidth="1" min="7" max="7" width="15.13"/>
    <col customWidth="1" min="8" max="8" width="8.75"/>
    <col customWidth="1" min="9" max="9" width="14.0"/>
    <col customWidth="1" min="10" max="10" width="21.25"/>
    <col customWidth="1" min="11" max="11" width="9.25"/>
    <col customWidth="1" min="12" max="12" width="7.5"/>
  </cols>
  <sheetData>
    <row r="1" ht="30.0" customHeight="1">
      <c r="A1" s="390" t="s">
        <v>382</v>
      </c>
    </row>
    <row r="2" ht="30.0" customHeight="1">
      <c r="A2" s="391" t="s">
        <v>383</v>
      </c>
      <c r="B2" s="392" t="s">
        <v>384</v>
      </c>
      <c r="D2" s="393" t="s">
        <v>385</v>
      </c>
      <c r="E2" s="30"/>
      <c r="F2" s="31"/>
      <c r="I2" s="394" t="s">
        <v>386</v>
      </c>
      <c r="J2" s="30"/>
      <c r="K2" s="30"/>
      <c r="L2" s="30"/>
      <c r="M2" s="30"/>
      <c r="N2" s="30"/>
      <c r="O2" s="30"/>
      <c r="P2" s="30"/>
      <c r="Q2" s="30"/>
      <c r="R2" s="31"/>
    </row>
    <row r="3" ht="30.0" customHeight="1">
      <c r="A3" s="200" t="s">
        <v>387</v>
      </c>
      <c r="B3" s="395">
        <v>1.15</v>
      </c>
      <c r="D3" s="396" t="s">
        <v>388</v>
      </c>
      <c r="E3" s="31"/>
      <c r="F3" s="397" t="s">
        <v>389</v>
      </c>
      <c r="I3" s="398" t="s">
        <v>390</v>
      </c>
      <c r="J3" s="399" t="s">
        <v>391</v>
      </c>
      <c r="K3" s="31"/>
      <c r="L3" s="200" t="s">
        <v>392</v>
      </c>
      <c r="M3" s="398" t="s">
        <v>393</v>
      </c>
      <c r="N3" s="398">
        <v>35.0</v>
      </c>
      <c r="O3" s="400" t="s">
        <v>394</v>
      </c>
      <c r="P3" s="200" t="s">
        <v>392</v>
      </c>
      <c r="Q3" s="398" t="s">
        <v>393</v>
      </c>
      <c r="R3" s="398">
        <v>35.0</v>
      </c>
    </row>
    <row r="4" ht="30.0" customHeight="1">
      <c r="A4" s="200" t="s">
        <v>395</v>
      </c>
      <c r="B4" s="395">
        <v>1.75</v>
      </c>
      <c r="D4" s="401" t="s">
        <v>396</v>
      </c>
      <c r="E4" s="402"/>
      <c r="F4" s="403">
        <f>E4*B4</f>
        <v>0</v>
      </c>
      <c r="I4" s="398" t="s">
        <v>397</v>
      </c>
      <c r="J4" s="404" t="s">
        <v>398</v>
      </c>
      <c r="K4" s="31"/>
      <c r="L4" s="398">
        <v>13.68</v>
      </c>
      <c r="M4" s="398">
        <f>0.5*N3</f>
        <v>17.5</v>
      </c>
      <c r="N4" s="405">
        <f t="shared" ref="N4:N7" si="1">L4+M4</f>
        <v>31.18</v>
      </c>
      <c r="O4" s="400" t="s">
        <v>399</v>
      </c>
      <c r="P4" s="398">
        <v>26.27</v>
      </c>
      <c r="Q4" s="398">
        <f>0.5*R3</f>
        <v>17.5</v>
      </c>
      <c r="R4" s="405">
        <f t="shared" ref="R4:R7" si="2">P4+Q4</f>
        <v>43.77</v>
      </c>
    </row>
    <row r="5" ht="30.0" customHeight="1">
      <c r="A5" s="200" t="s">
        <v>400</v>
      </c>
      <c r="B5" s="395">
        <v>2.5</v>
      </c>
      <c r="D5" s="401" t="s">
        <v>401</v>
      </c>
      <c r="E5" s="406">
        <v>3.0</v>
      </c>
      <c r="F5" s="403">
        <f t="shared" ref="F5:F6" si="3">(E5*B3)*2</f>
        <v>6.9</v>
      </c>
      <c r="I5" s="398" t="s">
        <v>402</v>
      </c>
      <c r="J5" s="404" t="s">
        <v>398</v>
      </c>
      <c r="K5" s="31"/>
      <c r="L5" s="398">
        <v>27.04</v>
      </c>
      <c r="M5" s="398">
        <f>0.5*N3</f>
        <v>17.5</v>
      </c>
      <c r="N5" s="405">
        <f t="shared" si="1"/>
        <v>44.54</v>
      </c>
      <c r="O5" s="400" t="s">
        <v>399</v>
      </c>
      <c r="P5" s="398">
        <v>52.54</v>
      </c>
      <c r="Q5" s="398">
        <f>0.5*R3</f>
        <v>17.5</v>
      </c>
      <c r="R5" s="405">
        <f t="shared" si="2"/>
        <v>70.04</v>
      </c>
    </row>
    <row r="6" ht="30.0" customHeight="1">
      <c r="A6" s="200" t="s">
        <v>403</v>
      </c>
      <c r="B6" s="395">
        <v>2.7</v>
      </c>
      <c r="D6" s="401" t="s">
        <v>404</v>
      </c>
      <c r="E6" s="406">
        <v>3.0</v>
      </c>
      <c r="F6" s="403">
        <f t="shared" si="3"/>
        <v>10.5</v>
      </c>
      <c r="I6" s="398" t="s">
        <v>405</v>
      </c>
      <c r="J6" s="404" t="s">
        <v>398</v>
      </c>
      <c r="K6" s="31"/>
      <c r="L6" s="398">
        <v>40.72</v>
      </c>
      <c r="M6" s="398">
        <f>1*N3</f>
        <v>35</v>
      </c>
      <c r="N6" s="405">
        <f t="shared" si="1"/>
        <v>75.72</v>
      </c>
      <c r="O6" s="400" t="s">
        <v>399</v>
      </c>
      <c r="P6" s="398">
        <v>78.81</v>
      </c>
      <c r="Q6" s="398">
        <f>1*R3</f>
        <v>35</v>
      </c>
      <c r="R6" s="405">
        <f t="shared" si="2"/>
        <v>113.81</v>
      </c>
    </row>
    <row r="7" ht="30.0" customHeight="1">
      <c r="A7" s="200" t="s">
        <v>406</v>
      </c>
      <c r="B7" s="395">
        <v>3.2</v>
      </c>
      <c r="I7" s="398" t="s">
        <v>407</v>
      </c>
      <c r="J7" s="404" t="s">
        <v>398</v>
      </c>
      <c r="K7" s="31"/>
      <c r="L7" s="398">
        <v>54.08</v>
      </c>
      <c r="M7" s="398">
        <f>1.5*N3</f>
        <v>52.5</v>
      </c>
      <c r="N7" s="405">
        <f t="shared" si="1"/>
        <v>106.58</v>
      </c>
      <c r="O7" s="400" t="s">
        <v>399</v>
      </c>
      <c r="P7" s="398">
        <v>105.07</v>
      </c>
      <c r="Q7" s="398">
        <f>1.5*R3</f>
        <v>52.5</v>
      </c>
      <c r="R7" s="405">
        <f t="shared" si="2"/>
        <v>157.57</v>
      </c>
    </row>
    <row r="8">
      <c r="B8" s="10"/>
    </row>
    <row r="9">
      <c r="B9" s="10"/>
    </row>
    <row r="10">
      <c r="A10" s="89" t="s">
        <v>95</v>
      </c>
      <c r="B10" s="89" t="s">
        <v>408</v>
      </c>
      <c r="C10" s="89" t="s">
        <v>409</v>
      </c>
      <c r="D10" s="191" t="s">
        <v>410</v>
      </c>
      <c r="E10" s="407" t="s">
        <v>411</v>
      </c>
      <c r="F10" s="89" t="s">
        <v>329</v>
      </c>
      <c r="G10" s="89" t="s">
        <v>412</v>
      </c>
      <c r="H10" s="89" t="s">
        <v>413</v>
      </c>
      <c r="I10" s="191" t="s">
        <v>414</v>
      </c>
      <c r="J10" s="12" t="s">
        <v>415</v>
      </c>
      <c r="K10" s="353" t="s">
        <v>134</v>
      </c>
      <c r="L10" s="45" t="s">
        <v>416</v>
      </c>
    </row>
    <row r="11">
      <c r="A11" s="16" t="s">
        <v>417</v>
      </c>
      <c r="B11" s="16" t="s">
        <v>418</v>
      </c>
      <c r="C11" s="16" t="s">
        <v>419</v>
      </c>
      <c r="D11" s="408">
        <v>2.649</v>
      </c>
      <c r="E11" s="409">
        <f t="shared" ref="E11:E22" si="4">SUM((D11*40%)+D11)</f>
        <v>3.7086</v>
      </c>
      <c r="F11" s="16" t="s">
        <v>344</v>
      </c>
      <c r="G11" s="49">
        <v>1.15</v>
      </c>
      <c r="H11" s="49">
        <v>2.3</v>
      </c>
      <c r="I11" s="408">
        <f t="shared" ref="I11:I22" si="5">SUM(G11+H11)</f>
        <v>3.45</v>
      </c>
      <c r="J11" s="410">
        <f t="shared" ref="J11:J17" si="6">D11+I11</f>
        <v>6.099</v>
      </c>
      <c r="K11" s="355">
        <v>0.4</v>
      </c>
      <c r="L11" s="411">
        <f t="shared" ref="L11:L22" si="7">SUM((D11*K11)+D11+I11)</f>
        <v>7.1586</v>
      </c>
      <c r="M11" s="27">
        <f t="shared" ref="M11:M12" si="8">L11*50</f>
        <v>357.93</v>
      </c>
    </row>
    <row r="12">
      <c r="A12" s="16" t="s">
        <v>417</v>
      </c>
      <c r="B12" s="16" t="s">
        <v>418</v>
      </c>
      <c r="C12" s="16" t="s">
        <v>420</v>
      </c>
      <c r="D12" s="412">
        <v>2.13</v>
      </c>
      <c r="E12" s="409">
        <f t="shared" si="4"/>
        <v>2.982</v>
      </c>
      <c r="F12" s="16" t="s">
        <v>344</v>
      </c>
      <c r="G12" s="49">
        <v>1.15</v>
      </c>
      <c r="H12" s="49">
        <v>2.3</v>
      </c>
      <c r="I12" s="408">
        <f t="shared" si="5"/>
        <v>3.45</v>
      </c>
      <c r="J12" s="413">
        <f t="shared" si="6"/>
        <v>5.58</v>
      </c>
      <c r="K12" s="355">
        <v>0.4</v>
      </c>
      <c r="L12" s="411">
        <f t="shared" si="7"/>
        <v>6.432</v>
      </c>
      <c r="M12" s="27">
        <f t="shared" si="8"/>
        <v>321.6</v>
      </c>
    </row>
    <row r="13">
      <c r="A13" s="16" t="s">
        <v>421</v>
      </c>
      <c r="B13" s="16" t="s">
        <v>418</v>
      </c>
      <c r="C13" s="16" t="s">
        <v>422</v>
      </c>
      <c r="D13" s="412">
        <v>2.65</v>
      </c>
      <c r="E13" s="409">
        <f t="shared" si="4"/>
        <v>3.71</v>
      </c>
      <c r="F13" s="16" t="s">
        <v>423</v>
      </c>
      <c r="G13" s="414">
        <v>1.15</v>
      </c>
      <c r="H13" s="49">
        <v>2.5</v>
      </c>
      <c r="I13" s="408">
        <f t="shared" si="5"/>
        <v>3.65</v>
      </c>
      <c r="J13" s="413">
        <f t="shared" si="6"/>
        <v>6.3</v>
      </c>
      <c r="K13" s="355">
        <v>0.4</v>
      </c>
      <c r="L13" s="411">
        <f t="shared" si="7"/>
        <v>7.36</v>
      </c>
    </row>
    <row r="14">
      <c r="A14" s="16" t="s">
        <v>421</v>
      </c>
      <c r="B14" s="16" t="s">
        <v>418</v>
      </c>
      <c r="C14" s="16" t="s">
        <v>424</v>
      </c>
      <c r="D14" s="412">
        <v>2.72375</v>
      </c>
      <c r="E14" s="409">
        <f t="shared" si="4"/>
        <v>3.81325</v>
      </c>
      <c r="F14" s="16" t="s">
        <v>423</v>
      </c>
      <c r="G14" s="49">
        <v>2.5</v>
      </c>
      <c r="H14" s="49">
        <v>2.5</v>
      </c>
      <c r="I14" s="408">
        <f t="shared" si="5"/>
        <v>5</v>
      </c>
      <c r="J14" s="413">
        <f t="shared" si="6"/>
        <v>7.72375</v>
      </c>
      <c r="K14" s="355">
        <v>0.4</v>
      </c>
      <c r="L14" s="411">
        <f t="shared" si="7"/>
        <v>8.81325</v>
      </c>
    </row>
    <row r="15">
      <c r="A15" s="16" t="s">
        <v>421</v>
      </c>
      <c r="B15" s="16" t="s">
        <v>418</v>
      </c>
      <c r="C15" s="16" t="s">
        <v>425</v>
      </c>
      <c r="D15" s="412">
        <v>2.074</v>
      </c>
      <c r="E15" s="409">
        <f t="shared" si="4"/>
        <v>2.9036</v>
      </c>
      <c r="F15" s="16" t="s">
        <v>423</v>
      </c>
      <c r="G15" s="414">
        <v>1.15</v>
      </c>
      <c r="H15" s="49">
        <v>0.0</v>
      </c>
      <c r="I15" s="408">
        <f t="shared" si="5"/>
        <v>1.15</v>
      </c>
      <c r="J15" s="413">
        <f t="shared" si="6"/>
        <v>3.224</v>
      </c>
      <c r="K15" s="355">
        <v>0.4</v>
      </c>
      <c r="L15" s="411">
        <f t="shared" si="7"/>
        <v>4.0536</v>
      </c>
    </row>
    <row r="16">
      <c r="A16" s="16" t="s">
        <v>426</v>
      </c>
      <c r="B16" s="16" t="s">
        <v>418</v>
      </c>
      <c r="C16" s="16" t="s">
        <v>420</v>
      </c>
      <c r="D16" s="412">
        <v>2.26173913043478</v>
      </c>
      <c r="E16" s="409">
        <f t="shared" si="4"/>
        <v>3.166434783</v>
      </c>
      <c r="F16" s="16" t="s">
        <v>344</v>
      </c>
      <c r="G16" s="49"/>
      <c r="H16" s="49">
        <v>2.5</v>
      </c>
      <c r="I16" s="408">
        <f t="shared" si="5"/>
        <v>2.5</v>
      </c>
      <c r="J16" s="413">
        <f t="shared" si="6"/>
        <v>4.76173913</v>
      </c>
      <c r="K16" s="355">
        <v>0.4</v>
      </c>
      <c r="L16" s="411">
        <f t="shared" si="7"/>
        <v>5.666434783</v>
      </c>
    </row>
    <row r="17">
      <c r="A17" s="16" t="s">
        <v>427</v>
      </c>
      <c r="B17" s="16" t="s">
        <v>418</v>
      </c>
      <c r="C17" s="16" t="s">
        <v>428</v>
      </c>
      <c r="D17" s="412">
        <v>1.1</v>
      </c>
      <c r="E17" s="409">
        <f t="shared" si="4"/>
        <v>1.54</v>
      </c>
      <c r="F17" s="16" t="s">
        <v>382</v>
      </c>
      <c r="G17" s="49">
        <v>1.15</v>
      </c>
      <c r="H17" s="49">
        <v>1.75</v>
      </c>
      <c r="I17" s="408">
        <f t="shared" si="5"/>
        <v>2.9</v>
      </c>
      <c r="J17" s="413">
        <f t="shared" si="6"/>
        <v>4</v>
      </c>
      <c r="K17" s="355">
        <v>0.4</v>
      </c>
      <c r="L17" s="411">
        <f t="shared" si="7"/>
        <v>4.44</v>
      </c>
      <c r="M17" s="10">
        <f>G17+H17+D17</f>
        <v>4</v>
      </c>
    </row>
    <row r="18">
      <c r="A18" s="16" t="s">
        <v>429</v>
      </c>
      <c r="B18" s="16" t="s">
        <v>430</v>
      </c>
      <c r="C18" s="16" t="s">
        <v>431</v>
      </c>
      <c r="D18" s="412">
        <v>7.0</v>
      </c>
      <c r="E18" s="409">
        <f t="shared" si="4"/>
        <v>9.8</v>
      </c>
      <c r="F18" s="16" t="s">
        <v>382</v>
      </c>
      <c r="G18" s="49">
        <v>1.15</v>
      </c>
      <c r="H18" s="49">
        <v>1.2</v>
      </c>
      <c r="I18" s="408">
        <f t="shared" si="5"/>
        <v>2.35</v>
      </c>
      <c r="J18" s="410">
        <f>E18+I18</f>
        <v>12.15</v>
      </c>
      <c r="K18" s="355">
        <v>0.4</v>
      </c>
      <c r="L18" s="411">
        <f t="shared" si="7"/>
        <v>12.15</v>
      </c>
    </row>
    <row r="19">
      <c r="A19" s="16" t="s">
        <v>432</v>
      </c>
      <c r="B19" s="16" t="s">
        <v>433</v>
      </c>
      <c r="C19" s="16" t="s">
        <v>428</v>
      </c>
      <c r="D19" s="412">
        <v>10.13</v>
      </c>
      <c r="E19" s="409">
        <f t="shared" si="4"/>
        <v>14.182</v>
      </c>
      <c r="F19" s="16" t="s">
        <v>382</v>
      </c>
      <c r="G19" s="49">
        <v>1.15</v>
      </c>
      <c r="H19" s="49">
        <v>2.7</v>
      </c>
      <c r="I19" s="408">
        <f t="shared" si="5"/>
        <v>3.85</v>
      </c>
      <c r="J19" s="413">
        <f t="shared" ref="J19:J22" si="9">D19+I19</f>
        <v>13.98</v>
      </c>
      <c r="K19" s="355">
        <v>0.4</v>
      </c>
      <c r="L19" s="411">
        <f t="shared" si="7"/>
        <v>18.032</v>
      </c>
      <c r="M19" s="10">
        <f t="shared" ref="M19:M22" si="10">G19+H19+E19</f>
        <v>18.032</v>
      </c>
      <c r="N19" s="10">
        <f t="shared" ref="N19:N22" si="11">M19*19+5.95</f>
        <v>348.558</v>
      </c>
      <c r="O19" s="10">
        <f t="shared" ref="O19:O22" si="12">N19/19</f>
        <v>18.34515789</v>
      </c>
    </row>
    <row r="20">
      <c r="A20" s="16" t="s">
        <v>434</v>
      </c>
      <c r="B20" s="16" t="s">
        <v>435</v>
      </c>
      <c r="C20" s="16" t="s">
        <v>436</v>
      </c>
      <c r="D20" s="412">
        <v>1.24</v>
      </c>
      <c r="E20" s="409">
        <f t="shared" si="4"/>
        <v>1.736</v>
      </c>
      <c r="F20" s="16" t="s">
        <v>382</v>
      </c>
      <c r="G20" s="49">
        <v>2.5</v>
      </c>
      <c r="H20" s="49">
        <v>0.0</v>
      </c>
      <c r="I20" s="408">
        <f t="shared" si="5"/>
        <v>2.5</v>
      </c>
      <c r="J20" s="413">
        <f t="shared" si="9"/>
        <v>3.74</v>
      </c>
      <c r="K20" s="355">
        <v>0.4</v>
      </c>
      <c r="L20" s="411">
        <f t="shared" si="7"/>
        <v>4.236</v>
      </c>
      <c r="M20" s="10">
        <f t="shared" si="10"/>
        <v>4.236</v>
      </c>
      <c r="N20" s="10">
        <f t="shared" si="11"/>
        <v>86.434</v>
      </c>
      <c r="O20" s="10">
        <f t="shared" si="12"/>
        <v>4.549157895</v>
      </c>
    </row>
    <row r="21">
      <c r="A21" s="16" t="s">
        <v>434</v>
      </c>
      <c r="B21" s="16" t="s">
        <v>435</v>
      </c>
      <c r="C21" s="16" t="s">
        <v>437</v>
      </c>
      <c r="D21" s="412">
        <v>1.39</v>
      </c>
      <c r="E21" s="409">
        <f t="shared" si="4"/>
        <v>1.946</v>
      </c>
      <c r="F21" s="16" t="s">
        <v>382</v>
      </c>
      <c r="G21" s="49">
        <v>2.5</v>
      </c>
      <c r="H21" s="49">
        <v>0.0</v>
      </c>
      <c r="I21" s="408">
        <f t="shared" si="5"/>
        <v>2.5</v>
      </c>
      <c r="J21" s="413">
        <f t="shared" si="9"/>
        <v>3.89</v>
      </c>
      <c r="K21" s="355">
        <v>0.4</v>
      </c>
      <c r="L21" s="411">
        <f t="shared" si="7"/>
        <v>4.446</v>
      </c>
      <c r="M21" s="10">
        <f t="shared" si="10"/>
        <v>4.446</v>
      </c>
      <c r="N21" s="10">
        <f t="shared" si="11"/>
        <v>90.424</v>
      </c>
      <c r="O21" s="10">
        <f t="shared" si="12"/>
        <v>4.759157895</v>
      </c>
    </row>
    <row r="22">
      <c r="A22" s="16" t="s">
        <v>438</v>
      </c>
      <c r="B22" s="16" t="s">
        <v>435</v>
      </c>
      <c r="C22" s="16" t="s">
        <v>439</v>
      </c>
      <c r="D22" s="412">
        <v>1.8195</v>
      </c>
      <c r="E22" s="409">
        <f t="shared" si="4"/>
        <v>2.5473</v>
      </c>
      <c r="F22" s="16" t="s">
        <v>344</v>
      </c>
      <c r="G22" s="49">
        <v>3.2</v>
      </c>
      <c r="H22" s="49">
        <v>1.75</v>
      </c>
      <c r="I22" s="408">
        <f t="shared" si="5"/>
        <v>4.95</v>
      </c>
      <c r="J22" s="413">
        <f t="shared" si="9"/>
        <v>6.7695</v>
      </c>
      <c r="K22" s="355">
        <v>0.4</v>
      </c>
      <c r="L22" s="411">
        <f t="shared" si="7"/>
        <v>7.4973</v>
      </c>
      <c r="M22" s="10">
        <f t="shared" si="10"/>
        <v>7.4973</v>
      </c>
      <c r="N22" s="10">
        <f t="shared" si="11"/>
        <v>148.3987</v>
      </c>
      <c r="O22" s="10">
        <f t="shared" si="12"/>
        <v>7.810457895</v>
      </c>
    </row>
    <row r="23">
      <c r="B23" s="10"/>
    </row>
    <row r="24">
      <c r="B24" s="10"/>
    </row>
    <row r="25">
      <c r="B25" s="10"/>
    </row>
    <row r="26">
      <c r="B26" s="10"/>
      <c r="I26" s="415">
        <v>1.208</v>
      </c>
      <c r="J26" s="415">
        <v>1.15</v>
      </c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</sheetData>
  <mergeCells count="9">
    <mergeCell ref="J6:K6"/>
    <mergeCell ref="J7:K7"/>
    <mergeCell ref="A1:B1"/>
    <mergeCell ref="D2:F2"/>
    <mergeCell ref="I2:R2"/>
    <mergeCell ref="D3:E3"/>
    <mergeCell ref="J3:K3"/>
    <mergeCell ref="J4:K4"/>
    <mergeCell ref="J5:K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2" width="18.88"/>
    <col customWidth="1" min="14" max="15" width="15.75"/>
  </cols>
  <sheetData>
    <row r="1">
      <c r="A1" s="86" t="s">
        <v>47</v>
      </c>
      <c r="B1" s="30"/>
      <c r="C1" s="31"/>
      <c r="D1" s="40"/>
      <c r="E1" s="188" t="s">
        <v>440</v>
      </c>
      <c r="F1" s="30"/>
      <c r="G1" s="30"/>
      <c r="H1" s="31"/>
      <c r="J1" s="188" t="s">
        <v>441</v>
      </c>
      <c r="K1" s="30"/>
      <c r="L1" s="31"/>
      <c r="N1" s="416" t="s">
        <v>442</v>
      </c>
      <c r="O1" s="31"/>
    </row>
    <row r="2">
      <c r="A2" s="85" t="s">
        <v>357</v>
      </c>
      <c r="B2" s="31"/>
      <c r="C2" s="1" t="s">
        <v>79</v>
      </c>
      <c r="D2" s="40"/>
      <c r="E2" s="189" t="s">
        <v>1</v>
      </c>
      <c r="F2" s="189" t="s">
        <v>443</v>
      </c>
      <c r="G2" s="189" t="s">
        <v>444</v>
      </c>
      <c r="H2" s="189" t="s">
        <v>79</v>
      </c>
      <c r="J2" s="189" t="s">
        <v>390</v>
      </c>
      <c r="K2" s="189" t="s">
        <v>445</v>
      </c>
      <c r="L2" s="417" t="s">
        <v>446</v>
      </c>
      <c r="N2" s="418" t="s">
        <v>447</v>
      </c>
      <c r="O2" s="419" t="s">
        <v>87</v>
      </c>
    </row>
    <row r="3">
      <c r="A3" s="420" t="s">
        <v>448</v>
      </c>
      <c r="B3" s="31"/>
      <c r="C3" s="193">
        <v>0.09</v>
      </c>
      <c r="D3" s="40"/>
      <c r="E3" s="194" t="s">
        <v>10</v>
      </c>
      <c r="F3" s="421">
        <v>87.0</v>
      </c>
      <c r="G3" s="115">
        <v>300.0</v>
      </c>
      <c r="H3" s="422">
        <f t="shared" ref="H3:H4" si="1">F3/G3</f>
        <v>0.29</v>
      </c>
      <c r="J3" s="194" t="s">
        <v>14</v>
      </c>
      <c r="K3" s="423">
        <v>87.0</v>
      </c>
      <c r="L3" s="57"/>
      <c r="N3" s="123" t="s">
        <v>449</v>
      </c>
      <c r="O3" s="44">
        <v>0.93</v>
      </c>
    </row>
    <row r="4">
      <c r="A4" s="420" t="s">
        <v>450</v>
      </c>
      <c r="B4" s="31"/>
      <c r="C4" s="193">
        <v>0.0</v>
      </c>
      <c r="D4" s="40"/>
      <c r="E4" s="194" t="s">
        <v>4</v>
      </c>
      <c r="F4" s="421">
        <v>25.0</v>
      </c>
      <c r="G4" s="115">
        <v>2000.0</v>
      </c>
      <c r="H4" s="422">
        <f t="shared" si="1"/>
        <v>0.0125</v>
      </c>
      <c r="J4" s="194" t="s">
        <v>412</v>
      </c>
      <c r="K4" s="13">
        <v>45.0</v>
      </c>
      <c r="L4" s="424">
        <f>K3*K4</f>
        <v>3915</v>
      </c>
      <c r="N4" s="425"/>
      <c r="O4" s="44">
        <v>0.0</v>
      </c>
    </row>
    <row r="5">
      <c r="A5" s="420" t="s">
        <v>451</v>
      </c>
      <c r="B5" s="31"/>
      <c r="C5" s="193">
        <v>0.0</v>
      </c>
      <c r="D5" s="40"/>
      <c r="E5" s="426" t="s">
        <v>452</v>
      </c>
      <c r="J5" s="194" t="s">
        <v>453</v>
      </c>
      <c r="K5" s="13">
        <v>90.0</v>
      </c>
      <c r="L5" s="424">
        <f>K5*K3</f>
        <v>7830</v>
      </c>
      <c r="N5" s="425"/>
      <c r="O5" s="44">
        <v>0.0</v>
      </c>
    </row>
    <row r="6">
      <c r="A6" s="420" t="s">
        <v>454</v>
      </c>
      <c r="B6" s="31"/>
      <c r="C6" s="193">
        <v>0.0</v>
      </c>
      <c r="D6" s="40" t="s">
        <v>274</v>
      </c>
      <c r="N6" s="425"/>
      <c r="O6" s="44">
        <v>0.0</v>
      </c>
    </row>
    <row r="7">
      <c r="J7" s="1" t="s">
        <v>455</v>
      </c>
      <c r="K7" s="1" t="s">
        <v>456</v>
      </c>
      <c r="L7" s="1" t="s">
        <v>457</v>
      </c>
      <c r="N7" s="425"/>
      <c r="O7" s="44">
        <v>0.0</v>
      </c>
    </row>
    <row r="8">
      <c r="J8" s="427">
        <v>2880.0</v>
      </c>
      <c r="K8" s="17">
        <f t="shared" ref="K8:L8" si="2">J8/60</f>
        <v>48</v>
      </c>
      <c r="L8" s="17">
        <f t="shared" si="2"/>
        <v>0.8</v>
      </c>
      <c r="N8" s="425"/>
      <c r="O8" s="44">
        <v>0.0</v>
      </c>
    </row>
    <row r="9">
      <c r="N9" s="428"/>
      <c r="O9" s="429"/>
    </row>
    <row r="10" ht="30.0" customHeight="1">
      <c r="A10" s="430" t="s">
        <v>458</v>
      </c>
      <c r="H10" s="431" t="s">
        <v>459</v>
      </c>
      <c r="N10" s="432"/>
      <c r="O10" s="433"/>
    </row>
    <row r="11" ht="30.0" customHeight="1">
      <c r="A11" s="118" t="s">
        <v>95</v>
      </c>
      <c r="B11" s="118" t="s">
        <v>96</v>
      </c>
      <c r="C11" s="118" t="s">
        <v>98</v>
      </c>
      <c r="D11" s="118" t="s">
        <v>460</v>
      </c>
      <c r="E11" s="118" t="s">
        <v>461</v>
      </c>
      <c r="F11" s="434" t="s">
        <v>462</v>
      </c>
      <c r="G11" s="435" t="s">
        <v>463</v>
      </c>
      <c r="H11" s="2" t="s">
        <v>464</v>
      </c>
      <c r="I11" s="436" t="s">
        <v>465</v>
      </c>
      <c r="J11" s="437" t="s">
        <v>466</v>
      </c>
    </row>
    <row r="12" ht="30.0" customHeight="1">
      <c r="A12" s="438" t="s">
        <v>467</v>
      </c>
      <c r="B12" s="438" t="s">
        <v>468</v>
      </c>
      <c r="C12" s="439">
        <v>64.0</v>
      </c>
      <c r="D12" s="440">
        <v>0.09</v>
      </c>
      <c r="E12" s="412">
        <v>0.29</v>
      </c>
      <c r="F12" s="434">
        <f t="shared" ref="F12:F15" si="3">D12+E12</f>
        <v>0.38</v>
      </c>
      <c r="G12" s="435">
        <f t="shared" ref="G12:G15" si="4">F12*C12</f>
        <v>24.32</v>
      </c>
      <c r="H12" s="441">
        <v>3.5</v>
      </c>
      <c r="I12" s="442">
        <f t="shared" ref="I12:I15" si="5">((H12*G12)+H12)</f>
        <v>88.62</v>
      </c>
      <c r="J12" s="437">
        <f t="shared" ref="J12:J15" si="6">I12/C12</f>
        <v>1.3846875</v>
      </c>
      <c r="K12" s="88"/>
    </row>
    <row r="13" ht="30.0" customHeight="1">
      <c r="A13" s="438" t="s">
        <v>469</v>
      </c>
      <c r="B13" s="438" t="s">
        <v>468</v>
      </c>
      <c r="C13" s="439">
        <v>100.0</v>
      </c>
      <c r="D13" s="440">
        <v>0.09</v>
      </c>
      <c r="E13" s="412">
        <v>0.29</v>
      </c>
      <c r="F13" s="434">
        <f t="shared" si="3"/>
        <v>0.38</v>
      </c>
      <c r="G13" s="435">
        <f t="shared" si="4"/>
        <v>38</v>
      </c>
      <c r="H13" s="441">
        <v>3.5</v>
      </c>
      <c r="I13" s="442">
        <f t="shared" si="5"/>
        <v>136.5</v>
      </c>
      <c r="J13" s="437">
        <f t="shared" si="6"/>
        <v>1.365</v>
      </c>
    </row>
    <row r="14">
      <c r="A14" s="438" t="s">
        <v>470</v>
      </c>
      <c r="B14" s="438" t="s">
        <v>471</v>
      </c>
      <c r="C14" s="439">
        <v>25.0</v>
      </c>
      <c r="D14" s="440">
        <v>0.09</v>
      </c>
      <c r="E14" s="412">
        <v>0.58</v>
      </c>
      <c r="F14" s="434">
        <f t="shared" si="3"/>
        <v>0.67</v>
      </c>
      <c r="G14" s="435">
        <f t="shared" si="4"/>
        <v>16.75</v>
      </c>
      <c r="H14" s="441">
        <v>3.5</v>
      </c>
      <c r="I14" s="442">
        <f t="shared" si="5"/>
        <v>62.125</v>
      </c>
      <c r="J14" s="437">
        <f t="shared" si="6"/>
        <v>2.485</v>
      </c>
    </row>
    <row r="15">
      <c r="A15" s="438" t="s">
        <v>472</v>
      </c>
      <c r="B15" s="438" t="s">
        <v>471</v>
      </c>
      <c r="C15" s="439">
        <v>87.0</v>
      </c>
      <c r="D15" s="440">
        <v>0.09</v>
      </c>
      <c r="E15" s="412">
        <v>0.58</v>
      </c>
      <c r="F15" s="434">
        <f t="shared" si="3"/>
        <v>0.67</v>
      </c>
      <c r="G15" s="435">
        <f t="shared" si="4"/>
        <v>58.29</v>
      </c>
      <c r="H15" s="441">
        <v>1.466</v>
      </c>
      <c r="I15" s="442">
        <f t="shared" si="5"/>
        <v>86.91914</v>
      </c>
      <c r="J15" s="437">
        <f t="shared" si="6"/>
        <v>0.9990705747</v>
      </c>
    </row>
  </sheetData>
  <mergeCells count="14">
    <mergeCell ref="A4:B4"/>
    <mergeCell ref="A5:B5"/>
    <mergeCell ref="E5:H6"/>
    <mergeCell ref="A6:B6"/>
    <mergeCell ref="A10:G10"/>
    <mergeCell ref="H10:J10"/>
    <mergeCell ref="K12:O15"/>
    <mergeCell ref="A1:C1"/>
    <mergeCell ref="E1:H1"/>
    <mergeCell ref="J1:L1"/>
    <mergeCell ref="N1:O1"/>
    <mergeCell ref="A2:B2"/>
    <mergeCell ref="L2:L3"/>
    <mergeCell ref="A3:B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4" width="12.63"/>
  </cols>
  <sheetData>
    <row r="1" ht="37.5" customHeight="1">
      <c r="A1" s="443" t="s">
        <v>473</v>
      </c>
      <c r="P1" s="109"/>
      <c r="Q1" s="109"/>
      <c r="R1" s="236"/>
    </row>
    <row r="2" ht="37.5" customHeight="1">
      <c r="A2" s="444" t="s">
        <v>474</v>
      </c>
      <c r="B2" s="445"/>
      <c r="C2" s="445"/>
      <c r="D2" s="445"/>
      <c r="E2" s="207"/>
      <c r="F2" s="446" t="s">
        <v>475</v>
      </c>
      <c r="G2" s="445"/>
      <c r="H2" s="207"/>
      <c r="I2" s="446" t="s">
        <v>329</v>
      </c>
      <c r="J2" s="445"/>
      <c r="K2" s="445"/>
      <c r="L2" s="207"/>
      <c r="M2" s="446" t="s">
        <v>76</v>
      </c>
      <c r="N2" s="445"/>
      <c r="O2" s="207"/>
      <c r="P2" s="109"/>
      <c r="Q2" s="109"/>
      <c r="R2" s="236"/>
    </row>
    <row r="3" ht="37.5" customHeight="1">
      <c r="A3" s="225"/>
      <c r="B3" s="238"/>
      <c r="C3" s="238"/>
      <c r="D3" s="238"/>
      <c r="E3" s="226"/>
      <c r="F3" s="225"/>
      <c r="G3" s="238"/>
      <c r="H3" s="226"/>
      <c r="I3" s="225"/>
      <c r="J3" s="238"/>
      <c r="K3" s="238"/>
      <c r="L3" s="226"/>
      <c r="M3" s="225"/>
      <c r="N3" s="238"/>
      <c r="O3" s="226"/>
      <c r="P3" s="109"/>
      <c r="Q3" s="109"/>
      <c r="R3" s="236"/>
    </row>
    <row r="4" ht="37.5" customHeight="1">
      <c r="A4" s="447" t="s">
        <v>357</v>
      </c>
      <c r="B4" s="447" t="s">
        <v>476</v>
      </c>
      <c r="C4" s="447" t="s">
        <v>477</v>
      </c>
      <c r="D4" s="447" t="s">
        <v>478</v>
      </c>
      <c r="E4" s="447" t="s">
        <v>479</v>
      </c>
      <c r="F4" s="447" t="s">
        <v>480</v>
      </c>
      <c r="G4" s="447" t="s">
        <v>481</v>
      </c>
      <c r="H4" s="447" t="s">
        <v>482</v>
      </c>
      <c r="I4" s="447" t="s">
        <v>480</v>
      </c>
      <c r="J4" s="447" t="s">
        <v>481</v>
      </c>
      <c r="K4" s="447" t="s">
        <v>478</v>
      </c>
      <c r="L4" s="447" t="s">
        <v>482</v>
      </c>
      <c r="M4" s="447" t="s">
        <v>76</v>
      </c>
      <c r="N4" s="353" t="s">
        <v>134</v>
      </c>
      <c r="O4" s="47" t="s">
        <v>416</v>
      </c>
      <c r="P4" s="109"/>
      <c r="Q4" s="109"/>
      <c r="R4" s="236"/>
    </row>
    <row r="5" ht="37.5" customHeight="1">
      <c r="A5" s="448" t="s">
        <v>483</v>
      </c>
      <c r="B5" s="50">
        <v>2.0</v>
      </c>
      <c r="C5" s="50">
        <v>2.0</v>
      </c>
      <c r="D5" s="449">
        <v>16.34</v>
      </c>
      <c r="E5" s="449">
        <f t="shared" ref="E5:E17" si="1">D5/(B5*C5)</f>
        <v>4.085</v>
      </c>
      <c r="F5" s="450">
        <v>1.2</v>
      </c>
      <c r="G5" s="450">
        <v>0.9</v>
      </c>
      <c r="H5" s="448">
        <f t="shared" ref="H5:H17" si="2">F5*G5</f>
        <v>1.08</v>
      </c>
      <c r="I5" s="450"/>
      <c r="J5" s="450"/>
      <c r="K5" s="449"/>
      <c r="L5" s="449">
        <f t="shared" ref="L5:L16" si="3">I5*J5*K5</f>
        <v>0</v>
      </c>
      <c r="M5" s="449">
        <f t="shared" ref="M5:M9" si="4">E5*H5</f>
        <v>4.4118</v>
      </c>
      <c r="N5" s="355">
        <v>3.0</v>
      </c>
      <c r="O5" s="51">
        <f>SUM((M5*N5)+L5+M5)</f>
        <v>17.6472</v>
      </c>
      <c r="P5" s="141"/>
    </row>
    <row r="6" ht="37.5" customHeight="1">
      <c r="A6" s="448" t="s">
        <v>484</v>
      </c>
      <c r="B6" s="50">
        <v>2.0</v>
      </c>
      <c r="C6" s="50">
        <v>2.0</v>
      </c>
      <c r="D6" s="449">
        <v>16.34</v>
      </c>
      <c r="E6" s="449">
        <f t="shared" si="1"/>
        <v>4.085</v>
      </c>
      <c r="F6" s="450">
        <v>1.0</v>
      </c>
      <c r="G6" s="450">
        <v>0.54</v>
      </c>
      <c r="H6" s="448">
        <f t="shared" si="2"/>
        <v>0.54</v>
      </c>
      <c r="I6" s="450">
        <v>1.05</v>
      </c>
      <c r="J6" s="450">
        <v>0.54</v>
      </c>
      <c r="K6" s="449">
        <v>9.0</v>
      </c>
      <c r="L6" s="449">
        <f t="shared" si="3"/>
        <v>5.103</v>
      </c>
      <c r="M6" s="449">
        <f t="shared" si="4"/>
        <v>2.2059</v>
      </c>
      <c r="N6" s="355">
        <v>3.0</v>
      </c>
      <c r="O6" s="51">
        <f>SUM((M6*N6)+M6+L6)</f>
        <v>13.9266</v>
      </c>
      <c r="P6" s="109"/>
      <c r="Q6" s="109"/>
      <c r="R6" s="236"/>
    </row>
    <row r="7" ht="37.5" customHeight="1">
      <c r="A7" s="448" t="s">
        <v>485</v>
      </c>
      <c r="B7" s="50">
        <v>2.0</v>
      </c>
      <c r="C7" s="50">
        <v>2.0</v>
      </c>
      <c r="D7" s="449">
        <v>16.34</v>
      </c>
      <c r="E7" s="449">
        <f t="shared" si="1"/>
        <v>4.085</v>
      </c>
      <c r="F7" s="450">
        <v>0.9</v>
      </c>
      <c r="G7" s="450">
        <v>0.6</v>
      </c>
      <c r="H7" s="448">
        <f t="shared" si="2"/>
        <v>0.54</v>
      </c>
      <c r="I7" s="450"/>
      <c r="J7" s="450"/>
      <c r="K7" s="449"/>
      <c r="L7" s="449">
        <f t="shared" si="3"/>
        <v>0</v>
      </c>
      <c r="M7" s="449">
        <f t="shared" si="4"/>
        <v>2.2059</v>
      </c>
      <c r="N7" s="355">
        <v>3.0</v>
      </c>
      <c r="O7" s="51">
        <f t="shared" ref="O7:O17" si="5">SUM((M7*N7)+L7+M7)</f>
        <v>8.8236</v>
      </c>
      <c r="P7" s="109"/>
      <c r="Q7" s="109"/>
      <c r="R7" s="236"/>
    </row>
    <row r="8" ht="37.5" customHeight="1">
      <c r="A8" s="448" t="s">
        <v>485</v>
      </c>
      <c r="B8" s="50">
        <v>2.0</v>
      </c>
      <c r="C8" s="50">
        <v>2.0</v>
      </c>
      <c r="D8" s="449">
        <v>16.34</v>
      </c>
      <c r="E8" s="449">
        <f t="shared" si="1"/>
        <v>4.085</v>
      </c>
      <c r="F8" s="450">
        <v>0.5</v>
      </c>
      <c r="G8" s="450">
        <v>0.38</v>
      </c>
      <c r="H8" s="448">
        <f t="shared" si="2"/>
        <v>0.19</v>
      </c>
      <c r="I8" s="450"/>
      <c r="J8" s="450"/>
      <c r="K8" s="449"/>
      <c r="L8" s="449">
        <f t="shared" si="3"/>
        <v>0</v>
      </c>
      <c r="M8" s="449">
        <f t="shared" si="4"/>
        <v>0.77615</v>
      </c>
      <c r="N8" s="355">
        <v>3.0</v>
      </c>
      <c r="O8" s="51">
        <f t="shared" si="5"/>
        <v>3.1046</v>
      </c>
      <c r="P8" s="109"/>
      <c r="Q8" s="109"/>
      <c r="R8" s="236"/>
    </row>
    <row r="9" ht="37.5" customHeight="1">
      <c r="A9" s="448" t="s">
        <v>486</v>
      </c>
      <c r="B9" s="45">
        <v>2.5</v>
      </c>
      <c r="C9" s="45">
        <v>2.0</v>
      </c>
      <c r="D9" s="451">
        <v>20.42</v>
      </c>
      <c r="E9" s="449">
        <f t="shared" si="1"/>
        <v>4.084</v>
      </c>
      <c r="F9" s="452">
        <v>1.2</v>
      </c>
      <c r="G9" s="452">
        <v>0.7</v>
      </c>
      <c r="H9" s="448">
        <f t="shared" si="2"/>
        <v>0.84</v>
      </c>
      <c r="I9" s="452">
        <v>1.2</v>
      </c>
      <c r="J9" s="452">
        <v>0.7</v>
      </c>
      <c r="K9" s="451"/>
      <c r="L9" s="449">
        <f t="shared" si="3"/>
        <v>0</v>
      </c>
      <c r="M9" s="449">
        <f t="shared" si="4"/>
        <v>3.43056</v>
      </c>
      <c r="N9" s="355">
        <v>3.0</v>
      </c>
      <c r="O9" s="51">
        <f t="shared" si="5"/>
        <v>13.72224</v>
      </c>
      <c r="P9" s="109"/>
      <c r="Q9" s="109"/>
      <c r="R9" s="236"/>
    </row>
    <row r="10" ht="37.5" customHeight="1">
      <c r="A10" s="448" t="s">
        <v>487</v>
      </c>
      <c r="B10" s="45">
        <v>3.04</v>
      </c>
      <c r="C10" s="45">
        <v>2.02</v>
      </c>
      <c r="D10" s="451">
        <v>16.33</v>
      </c>
      <c r="E10" s="449">
        <f t="shared" si="1"/>
        <v>2.659262637</v>
      </c>
      <c r="F10" s="452">
        <v>1.5</v>
      </c>
      <c r="G10" s="452">
        <v>1.0</v>
      </c>
      <c r="H10" s="448">
        <f t="shared" si="2"/>
        <v>1.5</v>
      </c>
      <c r="I10" s="452">
        <v>1.5</v>
      </c>
      <c r="J10" s="452">
        <v>1.0</v>
      </c>
      <c r="K10" s="451"/>
      <c r="L10" s="449">
        <f t="shared" si="3"/>
        <v>0</v>
      </c>
      <c r="M10" s="449">
        <f t="shared" ref="M10:M15" si="6">E10*H10+K10</f>
        <v>3.988893955</v>
      </c>
      <c r="N10" s="355">
        <v>3.0</v>
      </c>
      <c r="O10" s="51">
        <f t="shared" si="5"/>
        <v>15.95557582</v>
      </c>
      <c r="P10" s="453">
        <f>O10+33.6</f>
        <v>49.55557582</v>
      </c>
      <c r="Q10" s="453">
        <f>M10+24</f>
        <v>27.98889396</v>
      </c>
      <c r="R10" s="236"/>
    </row>
    <row r="11" ht="37.5" customHeight="1">
      <c r="A11" s="448" t="s">
        <v>487</v>
      </c>
      <c r="B11" s="45">
        <v>3.04</v>
      </c>
      <c r="C11" s="45">
        <v>2.02</v>
      </c>
      <c r="D11" s="451">
        <v>16.33</v>
      </c>
      <c r="E11" s="449">
        <f t="shared" si="1"/>
        <v>2.659262637</v>
      </c>
      <c r="F11" s="452">
        <v>1.15</v>
      </c>
      <c r="G11" s="452">
        <v>0.65</v>
      </c>
      <c r="H11" s="448">
        <f t="shared" si="2"/>
        <v>0.7475</v>
      </c>
      <c r="I11" s="452">
        <v>1.15</v>
      </c>
      <c r="J11" s="452">
        <v>0.65</v>
      </c>
      <c r="K11" s="451"/>
      <c r="L11" s="449">
        <f t="shared" si="3"/>
        <v>0</v>
      </c>
      <c r="M11" s="449">
        <f t="shared" si="6"/>
        <v>1.987798821</v>
      </c>
      <c r="N11" s="355">
        <v>3.0</v>
      </c>
      <c r="O11" s="51">
        <f t="shared" si="5"/>
        <v>7.951195284</v>
      </c>
      <c r="P11" s="453">
        <f>O11+16.8</f>
        <v>24.75119528</v>
      </c>
      <c r="Q11" s="453">
        <f>M11+12</f>
        <v>13.98779882</v>
      </c>
      <c r="R11" s="236"/>
    </row>
    <row r="12" ht="37.5" customHeight="1">
      <c r="A12" s="448" t="s">
        <v>487</v>
      </c>
      <c r="B12" s="45">
        <v>3.04</v>
      </c>
      <c r="C12" s="45">
        <v>2.02</v>
      </c>
      <c r="D12" s="451">
        <v>16.33</v>
      </c>
      <c r="E12" s="449">
        <f t="shared" si="1"/>
        <v>2.659262637</v>
      </c>
      <c r="F12" s="452">
        <v>0.6</v>
      </c>
      <c r="G12" s="452">
        <v>0.85</v>
      </c>
      <c r="H12" s="448">
        <f t="shared" si="2"/>
        <v>0.51</v>
      </c>
      <c r="I12" s="452">
        <v>0.6</v>
      </c>
      <c r="J12" s="452">
        <v>0.85</v>
      </c>
      <c r="K12" s="451"/>
      <c r="L12" s="449">
        <f t="shared" si="3"/>
        <v>0</v>
      </c>
      <c r="M12" s="449">
        <f t="shared" si="6"/>
        <v>1.356223945</v>
      </c>
      <c r="N12" s="355">
        <v>3.0</v>
      </c>
      <c r="O12" s="51">
        <f t="shared" si="5"/>
        <v>5.424895779</v>
      </c>
      <c r="P12" s="453">
        <f>O12+11.48</f>
        <v>16.90489578</v>
      </c>
      <c r="Q12" s="453">
        <f>M12+8.2</f>
        <v>9.556223945</v>
      </c>
      <c r="R12" s="236"/>
    </row>
    <row r="13" ht="37.5" customHeight="1">
      <c r="A13" s="448" t="s">
        <v>488</v>
      </c>
      <c r="B13" s="45">
        <v>3.05</v>
      </c>
      <c r="C13" s="45">
        <v>2.05</v>
      </c>
      <c r="D13" s="451">
        <v>65.22</v>
      </c>
      <c r="E13" s="449">
        <f t="shared" si="1"/>
        <v>10.43102759</v>
      </c>
      <c r="F13" s="452">
        <v>1.5</v>
      </c>
      <c r="G13" s="452">
        <v>1.0</v>
      </c>
      <c r="H13" s="448">
        <f t="shared" si="2"/>
        <v>1.5</v>
      </c>
      <c r="I13" s="452">
        <v>1.5</v>
      </c>
      <c r="J13" s="452">
        <v>1.0</v>
      </c>
      <c r="K13" s="451"/>
      <c r="L13" s="449">
        <f t="shared" si="3"/>
        <v>0</v>
      </c>
      <c r="M13" s="449">
        <f t="shared" si="6"/>
        <v>15.64654138</v>
      </c>
      <c r="N13" s="355">
        <v>3.0</v>
      </c>
      <c r="O13" s="51">
        <f t="shared" si="5"/>
        <v>62.58616553</v>
      </c>
      <c r="P13" s="453">
        <f>O13+33.6</f>
        <v>96.18616553</v>
      </c>
      <c r="Q13" s="453">
        <f>M13+24</f>
        <v>39.64654138</v>
      </c>
      <c r="R13" s="236"/>
    </row>
    <row r="14" ht="37.5" customHeight="1">
      <c r="A14" s="448" t="s">
        <v>488</v>
      </c>
      <c r="B14" s="45">
        <v>3.05</v>
      </c>
      <c r="C14" s="45">
        <v>2.05</v>
      </c>
      <c r="D14" s="451">
        <v>65.22</v>
      </c>
      <c r="E14" s="449">
        <f t="shared" si="1"/>
        <v>10.43102759</v>
      </c>
      <c r="F14" s="452">
        <v>1.15</v>
      </c>
      <c r="G14" s="452">
        <v>0.65</v>
      </c>
      <c r="H14" s="448">
        <f t="shared" si="2"/>
        <v>0.7475</v>
      </c>
      <c r="I14" s="452">
        <v>1.15</v>
      </c>
      <c r="J14" s="452">
        <v>0.65</v>
      </c>
      <c r="K14" s="451"/>
      <c r="L14" s="449">
        <f t="shared" si="3"/>
        <v>0</v>
      </c>
      <c r="M14" s="449">
        <f t="shared" si="6"/>
        <v>7.797193123</v>
      </c>
      <c r="N14" s="355">
        <v>3.0</v>
      </c>
      <c r="O14" s="51">
        <f t="shared" si="5"/>
        <v>31.18877249</v>
      </c>
      <c r="P14" s="453">
        <f>O14+16.8</f>
        <v>47.98877249</v>
      </c>
      <c r="Q14" s="453">
        <f>M14+12</f>
        <v>19.79719312</v>
      </c>
      <c r="R14" s="236"/>
    </row>
    <row r="15" ht="37.5" customHeight="1">
      <c r="A15" s="448" t="s">
        <v>488</v>
      </c>
      <c r="B15" s="45">
        <v>3.05</v>
      </c>
      <c r="C15" s="45">
        <v>2.05</v>
      </c>
      <c r="D15" s="451">
        <v>65.22</v>
      </c>
      <c r="E15" s="449">
        <f t="shared" si="1"/>
        <v>10.43102759</v>
      </c>
      <c r="F15" s="452">
        <v>0.6</v>
      </c>
      <c r="G15" s="452">
        <v>0.85</v>
      </c>
      <c r="H15" s="448">
        <f t="shared" si="2"/>
        <v>0.51</v>
      </c>
      <c r="I15" s="452">
        <v>0.6</v>
      </c>
      <c r="J15" s="452">
        <v>0.85</v>
      </c>
      <c r="K15" s="451"/>
      <c r="L15" s="449">
        <f t="shared" si="3"/>
        <v>0</v>
      </c>
      <c r="M15" s="449">
        <f t="shared" si="6"/>
        <v>5.31982407</v>
      </c>
      <c r="N15" s="355">
        <v>3.0</v>
      </c>
      <c r="O15" s="51">
        <f t="shared" si="5"/>
        <v>21.27929628</v>
      </c>
      <c r="P15" s="453">
        <f t="shared" ref="P15:P17" si="7">O15+11.48</f>
        <v>32.75929628</v>
      </c>
      <c r="Q15" s="453">
        <f t="shared" ref="Q15:Q17" si="8">M15+8.2</f>
        <v>13.51982407</v>
      </c>
      <c r="R15" s="236"/>
    </row>
    <row r="16" ht="37.5" customHeight="1">
      <c r="A16" s="448" t="s">
        <v>489</v>
      </c>
      <c r="B16" s="45">
        <v>3.05</v>
      </c>
      <c r="C16" s="45">
        <v>2.05</v>
      </c>
      <c r="D16" s="451">
        <v>55.83</v>
      </c>
      <c r="E16" s="449">
        <f t="shared" si="1"/>
        <v>8.929228309</v>
      </c>
      <c r="F16" s="452">
        <v>2.4</v>
      </c>
      <c r="G16" s="452">
        <v>1.0</v>
      </c>
      <c r="H16" s="448">
        <f t="shared" si="2"/>
        <v>2.4</v>
      </c>
      <c r="I16" s="452">
        <v>2.4</v>
      </c>
      <c r="J16" s="452">
        <v>1.0</v>
      </c>
      <c r="K16" s="451">
        <v>15.0</v>
      </c>
      <c r="L16" s="449">
        <f t="shared" si="3"/>
        <v>36</v>
      </c>
      <c r="M16" s="449">
        <f t="shared" ref="M16:M17" si="9">(E16*H16)+K16</f>
        <v>36.43014794</v>
      </c>
      <c r="N16" s="355">
        <v>0.2</v>
      </c>
      <c r="O16" s="51">
        <f t="shared" si="5"/>
        <v>79.71617753</v>
      </c>
      <c r="P16" s="453">
        <f t="shared" si="7"/>
        <v>91.19617753</v>
      </c>
      <c r="Q16" s="453">
        <f t="shared" si="8"/>
        <v>44.63014794</v>
      </c>
      <c r="R16" s="236"/>
    </row>
    <row r="17" ht="37.5" customHeight="1">
      <c r="A17" s="448" t="s">
        <v>490</v>
      </c>
      <c r="B17" s="45">
        <v>1.5</v>
      </c>
      <c r="C17" s="45">
        <v>1.0</v>
      </c>
      <c r="D17" s="451">
        <v>35.56</v>
      </c>
      <c r="E17" s="449">
        <f t="shared" si="1"/>
        <v>23.70666667</v>
      </c>
      <c r="F17" s="452">
        <v>0.4</v>
      </c>
      <c r="G17" s="452">
        <v>0.6</v>
      </c>
      <c r="H17" s="448">
        <f t="shared" si="2"/>
        <v>0.24</v>
      </c>
      <c r="I17" s="452">
        <v>0.4</v>
      </c>
      <c r="J17" s="452">
        <v>0.6</v>
      </c>
      <c r="K17" s="451">
        <v>0.0</v>
      </c>
      <c r="L17" s="449">
        <f>(I17*J17)*K17</f>
        <v>0</v>
      </c>
      <c r="M17" s="449">
        <f t="shared" si="9"/>
        <v>5.6896</v>
      </c>
      <c r="N17" s="355">
        <v>1.0</v>
      </c>
      <c r="O17" s="51">
        <f t="shared" si="5"/>
        <v>11.3792</v>
      </c>
      <c r="P17" s="453">
        <f t="shared" si="7"/>
        <v>22.8592</v>
      </c>
      <c r="Q17" s="453">
        <f t="shared" si="8"/>
        <v>13.8896</v>
      </c>
      <c r="R17" s="236"/>
    </row>
    <row r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</row>
    <row r="19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</row>
    <row r="20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</row>
    <row r="2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</sheetData>
  <mergeCells count="6">
    <mergeCell ref="A1:O1"/>
    <mergeCell ref="A2:E3"/>
    <mergeCell ref="F2:H3"/>
    <mergeCell ref="I2:L3"/>
    <mergeCell ref="M2:O3"/>
    <mergeCell ref="P5:T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4" width="12.63"/>
  </cols>
  <sheetData>
    <row r="1" ht="37.5" customHeight="1">
      <c r="A1" s="443" t="s">
        <v>491</v>
      </c>
      <c r="L1" s="109"/>
      <c r="M1" s="109"/>
      <c r="N1" s="236"/>
    </row>
    <row r="2" ht="37.5" customHeight="1">
      <c r="A2" s="444" t="s">
        <v>492</v>
      </c>
      <c r="B2" s="445"/>
      <c r="C2" s="445"/>
      <c r="D2" s="445"/>
      <c r="E2" s="207"/>
      <c r="F2" s="454" t="s">
        <v>475</v>
      </c>
      <c r="G2" s="30"/>
      <c r="H2" s="31"/>
      <c r="I2" s="446" t="s">
        <v>76</v>
      </c>
      <c r="J2" s="445"/>
      <c r="K2" s="207"/>
      <c r="L2" s="109"/>
      <c r="M2" s="109"/>
      <c r="N2" s="236"/>
    </row>
    <row r="3" ht="37.5" customHeight="1">
      <c r="A3" s="225"/>
      <c r="B3" s="238"/>
      <c r="C3" s="238"/>
      <c r="D3" s="238"/>
      <c r="E3" s="226"/>
      <c r="F3" s="455" t="s">
        <v>493</v>
      </c>
      <c r="I3" s="225"/>
      <c r="J3" s="238"/>
      <c r="K3" s="226"/>
      <c r="L3" s="109"/>
      <c r="M3" s="109"/>
      <c r="N3" s="236"/>
    </row>
    <row r="4" ht="37.5" customHeight="1">
      <c r="A4" s="447" t="s">
        <v>357</v>
      </c>
      <c r="B4" s="447" t="s">
        <v>476</v>
      </c>
      <c r="C4" s="447" t="s">
        <v>477</v>
      </c>
      <c r="D4" s="447" t="s">
        <v>478</v>
      </c>
      <c r="E4" s="447" t="s">
        <v>479</v>
      </c>
      <c r="F4" s="447" t="s">
        <v>480</v>
      </c>
      <c r="G4" s="447" t="s">
        <v>481</v>
      </c>
      <c r="H4" s="447" t="s">
        <v>482</v>
      </c>
      <c r="I4" s="447" t="s">
        <v>76</v>
      </c>
      <c r="J4" s="353" t="s">
        <v>134</v>
      </c>
      <c r="K4" s="47" t="s">
        <v>416</v>
      </c>
      <c r="L4" s="109"/>
      <c r="M4" s="109"/>
      <c r="N4" s="236"/>
    </row>
    <row r="5" ht="37.5" customHeight="1">
      <c r="A5" s="448" t="s">
        <v>494</v>
      </c>
      <c r="B5" s="50">
        <v>0.615</v>
      </c>
      <c r="C5" s="50">
        <v>5.0</v>
      </c>
      <c r="D5" s="449">
        <v>19.12</v>
      </c>
      <c r="E5" s="449">
        <f t="shared" ref="E5:E19" si="1">D5/(B5*C5)</f>
        <v>6.217886179</v>
      </c>
      <c r="F5" s="450">
        <v>0.615</v>
      </c>
      <c r="G5" s="450">
        <v>0.8</v>
      </c>
      <c r="H5" s="448">
        <f t="shared" ref="H5:H11" si="2">F5*G5</f>
        <v>0.492</v>
      </c>
      <c r="I5" s="449">
        <f t="shared" ref="I5:I19" si="3">E5*H5</f>
        <v>3.0592</v>
      </c>
      <c r="J5" s="355">
        <v>3.0</v>
      </c>
      <c r="K5" s="51">
        <f t="shared" ref="K5:K19" si="4">SUM((I5*J5)+I5)</f>
        <v>12.2368</v>
      </c>
      <c r="L5" s="456">
        <f>K5*2</f>
        <v>24.4736</v>
      </c>
    </row>
    <row r="6" ht="37.5" customHeight="1">
      <c r="A6" s="448" t="s">
        <v>494</v>
      </c>
      <c r="B6" s="50">
        <v>0.615</v>
      </c>
      <c r="C6" s="50">
        <v>15.0</v>
      </c>
      <c r="D6" s="449">
        <v>64.59</v>
      </c>
      <c r="E6" s="449">
        <f t="shared" si="1"/>
        <v>7.001626016</v>
      </c>
      <c r="F6" s="450">
        <v>0.615</v>
      </c>
      <c r="G6" s="450">
        <v>0.25</v>
      </c>
      <c r="H6" s="448">
        <f t="shared" si="2"/>
        <v>0.15375</v>
      </c>
      <c r="I6" s="449">
        <f t="shared" si="3"/>
        <v>1.0765</v>
      </c>
      <c r="J6" s="355">
        <v>3.0</v>
      </c>
      <c r="K6" s="51">
        <f t="shared" si="4"/>
        <v>4.306</v>
      </c>
      <c r="L6" s="109"/>
      <c r="M6" s="109"/>
      <c r="N6" s="457">
        <v>9.94</v>
      </c>
      <c r="O6" s="88">
        <v>3.0</v>
      </c>
    </row>
    <row r="7" ht="37.5" customHeight="1">
      <c r="A7" s="448" t="s">
        <v>495</v>
      </c>
      <c r="B7" s="50">
        <v>0.615</v>
      </c>
      <c r="C7" s="45">
        <v>5.0</v>
      </c>
      <c r="D7" s="449">
        <v>19.12</v>
      </c>
      <c r="E7" s="449">
        <f t="shared" si="1"/>
        <v>6.217886179</v>
      </c>
      <c r="F7" s="450">
        <v>0.615</v>
      </c>
      <c r="G7" s="452">
        <v>0.84</v>
      </c>
      <c r="H7" s="448">
        <f t="shared" si="2"/>
        <v>0.5166</v>
      </c>
      <c r="I7" s="449">
        <f t="shared" si="3"/>
        <v>3.21216</v>
      </c>
      <c r="J7" s="355">
        <v>1.5</v>
      </c>
      <c r="K7" s="51">
        <f t="shared" si="4"/>
        <v>8.0304</v>
      </c>
      <c r="L7" s="109"/>
      <c r="M7" s="109"/>
      <c r="N7" s="457">
        <f>N6*O6</f>
        <v>29.82</v>
      </c>
    </row>
    <row r="8" ht="37.5" customHeight="1">
      <c r="A8" s="448" t="s">
        <v>494</v>
      </c>
      <c r="B8" s="50">
        <v>0.615</v>
      </c>
      <c r="C8" s="50">
        <v>5.0</v>
      </c>
      <c r="D8" s="449">
        <v>21.53</v>
      </c>
      <c r="E8" s="449">
        <f t="shared" si="1"/>
        <v>7.001626016</v>
      </c>
      <c r="F8" s="450">
        <v>0.615</v>
      </c>
      <c r="G8" s="450">
        <v>0.121</v>
      </c>
      <c r="H8" s="448">
        <f t="shared" si="2"/>
        <v>0.074415</v>
      </c>
      <c r="I8" s="449">
        <f t="shared" si="3"/>
        <v>0.521026</v>
      </c>
      <c r="J8" s="355">
        <v>3.0</v>
      </c>
      <c r="K8" s="51">
        <f t="shared" si="4"/>
        <v>2.084104</v>
      </c>
      <c r="L8" s="109"/>
      <c r="M8" s="109"/>
      <c r="N8" s="457"/>
    </row>
    <row r="9" ht="37.5" customHeight="1">
      <c r="A9" s="448" t="s">
        <v>496</v>
      </c>
      <c r="B9" s="50">
        <v>0.615</v>
      </c>
      <c r="C9" s="50">
        <v>10.0</v>
      </c>
      <c r="D9" s="449">
        <v>43.06</v>
      </c>
      <c r="E9" s="449">
        <f t="shared" si="1"/>
        <v>7.001626016</v>
      </c>
      <c r="F9" s="450">
        <v>0.615</v>
      </c>
      <c r="G9" s="450">
        <v>0.2</v>
      </c>
      <c r="H9" s="448">
        <f t="shared" si="2"/>
        <v>0.123</v>
      </c>
      <c r="I9" s="449">
        <f t="shared" si="3"/>
        <v>0.8612</v>
      </c>
      <c r="J9" s="355">
        <v>3.0</v>
      </c>
      <c r="K9" s="51">
        <f t="shared" si="4"/>
        <v>3.4448</v>
      </c>
      <c r="L9" s="109"/>
      <c r="M9" s="109" t="s">
        <v>497</v>
      </c>
      <c r="N9" s="457"/>
    </row>
    <row r="10" ht="37.5" customHeight="1">
      <c r="A10" s="458" t="s">
        <v>498</v>
      </c>
      <c r="B10" s="50">
        <v>0.615</v>
      </c>
      <c r="C10" s="45">
        <v>5.0</v>
      </c>
      <c r="D10" s="451">
        <v>15.9</v>
      </c>
      <c r="E10" s="449">
        <f t="shared" si="1"/>
        <v>5.170731707</v>
      </c>
      <c r="F10" s="452">
        <v>0.615</v>
      </c>
      <c r="G10" s="452">
        <v>0.5</v>
      </c>
      <c r="H10" s="448">
        <f t="shared" si="2"/>
        <v>0.3075</v>
      </c>
      <c r="I10" s="449">
        <f t="shared" si="3"/>
        <v>1.59</v>
      </c>
      <c r="J10" s="355">
        <v>3.0</v>
      </c>
      <c r="K10" s="51">
        <f t="shared" si="4"/>
        <v>6.36</v>
      </c>
      <c r="L10" s="109"/>
      <c r="M10" s="109"/>
      <c r="N10" s="236"/>
    </row>
    <row r="11" ht="37.5" customHeight="1">
      <c r="A11" s="88" t="s">
        <v>499</v>
      </c>
      <c r="B11" s="50">
        <v>0.615</v>
      </c>
      <c r="C11" s="45">
        <v>5.0</v>
      </c>
      <c r="D11" s="451">
        <v>12.85</v>
      </c>
      <c r="E11" s="449">
        <f t="shared" si="1"/>
        <v>4.178861789</v>
      </c>
      <c r="F11" s="452">
        <v>0.615</v>
      </c>
      <c r="G11" s="452">
        <v>2.0</v>
      </c>
      <c r="H11" s="448">
        <f t="shared" si="2"/>
        <v>1.23</v>
      </c>
      <c r="I11" s="449">
        <f t="shared" si="3"/>
        <v>5.14</v>
      </c>
      <c r="J11" s="355">
        <v>3.0</v>
      </c>
      <c r="K11" s="51">
        <f t="shared" si="4"/>
        <v>20.56</v>
      </c>
      <c r="L11" s="109"/>
      <c r="M11" s="109"/>
      <c r="N11" s="236"/>
    </row>
    <row r="12" ht="37.5" customHeight="1">
      <c r="A12" s="447" t="s">
        <v>500</v>
      </c>
      <c r="B12" s="45">
        <v>0.5</v>
      </c>
      <c r="C12" s="45">
        <v>2.5</v>
      </c>
      <c r="D12" s="451">
        <v>20.12</v>
      </c>
      <c r="E12" s="449">
        <f t="shared" si="1"/>
        <v>16.096</v>
      </c>
      <c r="F12" s="452">
        <v>0.04</v>
      </c>
      <c r="G12" s="452">
        <v>0.81</v>
      </c>
      <c r="H12" s="448">
        <v>1.632</v>
      </c>
      <c r="I12" s="449">
        <f t="shared" si="3"/>
        <v>26.268672</v>
      </c>
      <c r="J12" s="355">
        <v>3.0</v>
      </c>
      <c r="K12" s="51">
        <f t="shared" si="4"/>
        <v>105.074688</v>
      </c>
      <c r="L12" s="109"/>
      <c r="M12" s="109"/>
      <c r="N12" s="236"/>
    </row>
    <row r="13" ht="37.5" customHeight="1">
      <c r="A13" s="88" t="s">
        <v>501</v>
      </c>
      <c r="B13" s="50">
        <v>0.615</v>
      </c>
      <c r="C13" s="45">
        <v>5.0</v>
      </c>
      <c r="D13" s="451">
        <v>26.03</v>
      </c>
      <c r="E13" s="449">
        <f t="shared" si="1"/>
        <v>8.46504065</v>
      </c>
      <c r="F13" s="452">
        <v>0.615</v>
      </c>
      <c r="G13" s="452">
        <v>4.0</v>
      </c>
      <c r="H13" s="448">
        <f t="shared" ref="H13:H19" si="5">F13*G13</f>
        <v>2.46</v>
      </c>
      <c r="I13" s="449">
        <f t="shared" si="3"/>
        <v>20.824</v>
      </c>
      <c r="J13" s="355">
        <v>2.0</v>
      </c>
      <c r="K13" s="51">
        <f t="shared" si="4"/>
        <v>62.472</v>
      </c>
      <c r="L13" s="109"/>
      <c r="M13" s="109"/>
      <c r="N13" s="236"/>
    </row>
    <row r="14" ht="37.5" customHeight="1">
      <c r="A14" s="88" t="s">
        <v>502</v>
      </c>
      <c r="B14" s="50">
        <v>1.22</v>
      </c>
      <c r="C14" s="45">
        <v>5.0</v>
      </c>
      <c r="D14" s="451">
        <v>35.7</v>
      </c>
      <c r="E14" s="449">
        <f t="shared" si="1"/>
        <v>5.852459016</v>
      </c>
      <c r="F14" s="452">
        <v>1.22</v>
      </c>
      <c r="G14" s="452">
        <v>4.2</v>
      </c>
      <c r="H14" s="448">
        <f t="shared" si="5"/>
        <v>5.124</v>
      </c>
      <c r="I14" s="449">
        <f t="shared" si="3"/>
        <v>29.988</v>
      </c>
      <c r="J14" s="355">
        <v>2.0</v>
      </c>
      <c r="K14" s="51">
        <f t="shared" si="4"/>
        <v>89.964</v>
      </c>
      <c r="L14" s="109"/>
      <c r="M14" s="109"/>
      <c r="N14" s="236"/>
    </row>
    <row r="15" ht="37.5" customHeight="1">
      <c r="A15" s="88" t="s">
        <v>503</v>
      </c>
      <c r="B15" s="50">
        <v>0.615</v>
      </c>
      <c r="C15" s="45">
        <v>5.0</v>
      </c>
      <c r="D15" s="451">
        <v>13.5</v>
      </c>
      <c r="E15" s="449">
        <f t="shared" si="1"/>
        <v>4.390243902</v>
      </c>
      <c r="F15" s="452">
        <v>0.615</v>
      </c>
      <c r="G15" s="452">
        <v>0.25</v>
      </c>
      <c r="H15" s="448">
        <f t="shared" si="5"/>
        <v>0.15375</v>
      </c>
      <c r="I15" s="449">
        <f t="shared" si="3"/>
        <v>0.675</v>
      </c>
      <c r="J15" s="355">
        <v>2.0</v>
      </c>
      <c r="K15" s="51">
        <f t="shared" si="4"/>
        <v>2.025</v>
      </c>
      <c r="L15" s="109"/>
      <c r="M15" s="109"/>
      <c r="N15" s="459">
        <f>3*35+K19</f>
        <v>159.65475</v>
      </c>
    </row>
    <row r="16" ht="37.5" customHeight="1">
      <c r="A16" s="460" t="s">
        <v>504</v>
      </c>
      <c r="B16" s="461">
        <v>0.615</v>
      </c>
      <c r="C16" s="462">
        <v>5.0</v>
      </c>
      <c r="D16" s="463">
        <v>13.5</v>
      </c>
      <c r="E16" s="464">
        <f t="shared" si="1"/>
        <v>4.390243902</v>
      </c>
      <c r="F16" s="465">
        <v>0.615</v>
      </c>
      <c r="G16" s="466">
        <v>2.8</v>
      </c>
      <c r="H16" s="467">
        <f t="shared" si="5"/>
        <v>1.722</v>
      </c>
      <c r="I16" s="464">
        <f t="shared" si="3"/>
        <v>7.56</v>
      </c>
      <c r="J16" s="468">
        <v>3.0</v>
      </c>
      <c r="K16" s="469">
        <f t="shared" si="4"/>
        <v>30.24</v>
      </c>
      <c r="L16" s="470">
        <f>K16+K17</f>
        <v>35.64</v>
      </c>
      <c r="M16" s="471"/>
      <c r="N16" s="234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</row>
    <row r="17">
      <c r="A17" s="460" t="s">
        <v>505</v>
      </c>
      <c r="B17" s="472">
        <v>0.615</v>
      </c>
      <c r="C17" s="473">
        <v>5.0</v>
      </c>
      <c r="D17" s="463">
        <v>13.5</v>
      </c>
      <c r="E17" s="464">
        <f t="shared" si="1"/>
        <v>4.390243902</v>
      </c>
      <c r="F17" s="474">
        <v>0.615</v>
      </c>
      <c r="G17" s="466">
        <v>0.5</v>
      </c>
      <c r="H17" s="475">
        <f t="shared" si="5"/>
        <v>0.3075</v>
      </c>
      <c r="I17" s="464">
        <f t="shared" si="3"/>
        <v>1.35</v>
      </c>
      <c r="J17" s="468">
        <v>3.0</v>
      </c>
      <c r="K17" s="469">
        <f t="shared" si="4"/>
        <v>5.4</v>
      </c>
      <c r="L17" s="470">
        <f t="shared" ref="L17:L18" si="6">I16+I17</f>
        <v>8.91</v>
      </c>
      <c r="M17" s="476"/>
      <c r="N17" s="477">
        <f>N15/20</f>
        <v>7.9827375</v>
      </c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</row>
    <row r="18">
      <c r="A18" s="460" t="s">
        <v>506</v>
      </c>
      <c r="B18" s="478">
        <v>1.23</v>
      </c>
      <c r="C18" s="473">
        <v>5.0</v>
      </c>
      <c r="D18" s="479">
        <v>75.58</v>
      </c>
      <c r="E18" s="464">
        <f t="shared" si="1"/>
        <v>12.28943089</v>
      </c>
      <c r="F18" s="466">
        <v>1.23</v>
      </c>
      <c r="G18" s="466">
        <v>2.65</v>
      </c>
      <c r="H18" s="475">
        <f t="shared" si="5"/>
        <v>3.2595</v>
      </c>
      <c r="I18" s="464">
        <f t="shared" si="3"/>
        <v>40.0574</v>
      </c>
      <c r="J18" s="468">
        <v>3.0</v>
      </c>
      <c r="K18" s="469">
        <f t="shared" si="4"/>
        <v>160.2296</v>
      </c>
      <c r="L18" s="470">
        <f t="shared" si="6"/>
        <v>41.4074</v>
      </c>
      <c r="M18" s="476"/>
      <c r="N18" s="234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</row>
    <row r="19" ht="37.5" customHeight="1">
      <c r="A19" s="480" t="s">
        <v>507</v>
      </c>
      <c r="B19" s="50">
        <v>0.615</v>
      </c>
      <c r="C19" s="45">
        <v>10.0</v>
      </c>
      <c r="D19" s="451">
        <v>26.99</v>
      </c>
      <c r="E19" s="449">
        <f t="shared" si="1"/>
        <v>4.388617886</v>
      </c>
      <c r="F19" s="452">
        <v>0.615</v>
      </c>
      <c r="G19" s="452">
        <v>6.75</v>
      </c>
      <c r="H19" s="448">
        <f t="shared" si="5"/>
        <v>4.15125</v>
      </c>
      <c r="I19" s="449">
        <f t="shared" si="3"/>
        <v>18.21825</v>
      </c>
      <c r="J19" s="355">
        <v>2.0</v>
      </c>
      <c r="K19" s="51">
        <f t="shared" si="4"/>
        <v>54.65475</v>
      </c>
      <c r="L19" s="109"/>
      <c r="M19" s="109"/>
      <c r="N19" s="236"/>
    </row>
    <row r="20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</row>
    <row r="2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</row>
    <row r="22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</row>
    <row r="24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</row>
  </sheetData>
  <mergeCells count="6">
    <mergeCell ref="A1:K1"/>
    <mergeCell ref="A2:E3"/>
    <mergeCell ref="F2:H2"/>
    <mergeCell ref="I2:K3"/>
    <mergeCell ref="F3:H3"/>
    <mergeCell ref="L5:P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15.13"/>
    <col customWidth="1" min="6" max="6" width="11.25"/>
    <col customWidth="1" min="7" max="7" width="12.5"/>
    <col customWidth="1" min="12" max="12" width="15.13"/>
  </cols>
  <sheetData>
    <row r="1" ht="36.75" customHeight="1">
      <c r="A1" s="390" t="s">
        <v>389</v>
      </c>
      <c r="E1" s="481" t="s">
        <v>508</v>
      </c>
      <c r="F1" s="482" t="s">
        <v>509</v>
      </c>
      <c r="H1" s="88" t="s">
        <v>510</v>
      </c>
      <c r="I1" s="88" t="s">
        <v>511</v>
      </c>
      <c r="L1" s="483" t="s">
        <v>512</v>
      </c>
      <c r="M1" s="483" t="s">
        <v>511</v>
      </c>
      <c r="N1" s="483" t="s">
        <v>513</v>
      </c>
      <c r="O1" s="483" t="s">
        <v>514</v>
      </c>
      <c r="P1" s="483" t="s">
        <v>515</v>
      </c>
      <c r="Q1" s="483" t="s">
        <v>516</v>
      </c>
      <c r="R1" s="483" t="s">
        <v>517</v>
      </c>
    </row>
    <row r="2">
      <c r="A2" s="391" t="s">
        <v>518</v>
      </c>
      <c r="B2" s="392"/>
      <c r="C2" s="392" t="s">
        <v>384</v>
      </c>
      <c r="E2" s="88" t="s">
        <v>519</v>
      </c>
      <c r="F2" s="88">
        <v>0.9</v>
      </c>
      <c r="G2" s="88">
        <v>0.6</v>
      </c>
      <c r="I2" s="10">
        <f>(F2*G2)*C4</f>
        <v>13.5</v>
      </c>
      <c r="L2" s="88" t="s">
        <v>520</v>
      </c>
      <c r="M2" s="484">
        <v>38.32</v>
      </c>
      <c r="N2" s="88">
        <v>3.0</v>
      </c>
      <c r="O2" s="88" t="s">
        <v>521</v>
      </c>
      <c r="P2" s="88">
        <v>45.0</v>
      </c>
      <c r="Q2" s="484">
        <v>12.6</v>
      </c>
      <c r="R2" s="10">
        <f>(M2*N2+Q2)/P2</f>
        <v>2.834666667</v>
      </c>
    </row>
    <row r="3">
      <c r="A3" s="485" t="s">
        <v>522</v>
      </c>
      <c r="B3" s="395"/>
      <c r="C3" s="395">
        <v>8.0</v>
      </c>
      <c r="E3" s="88" t="s">
        <v>523</v>
      </c>
      <c r="F3" s="88">
        <v>0.2</v>
      </c>
      <c r="G3" s="88">
        <v>0.2</v>
      </c>
      <c r="I3" s="10">
        <f>(F3*G3)*C4</f>
        <v>1</v>
      </c>
    </row>
    <row r="4">
      <c r="A4" s="200" t="s">
        <v>524</v>
      </c>
      <c r="B4" s="395"/>
      <c r="C4" s="395">
        <v>25.0</v>
      </c>
      <c r="E4" s="88" t="s">
        <v>525</v>
      </c>
    </row>
    <row r="5">
      <c r="A5" s="486"/>
      <c r="B5" s="433"/>
      <c r="C5" s="433"/>
      <c r="E5" s="88" t="s">
        <v>526</v>
      </c>
      <c r="J5" s="88" t="s">
        <v>274</v>
      </c>
    </row>
    <row r="6">
      <c r="A6" s="236"/>
      <c r="B6" s="487"/>
      <c r="C6" s="487"/>
      <c r="D6" s="488"/>
      <c r="E6" s="489"/>
      <c r="F6" s="489"/>
      <c r="G6" s="489"/>
      <c r="H6" s="489"/>
    </row>
    <row r="7">
      <c r="A7" s="490" t="s">
        <v>527</v>
      </c>
      <c r="B7" s="491" t="s">
        <v>528</v>
      </c>
      <c r="C7" s="491" t="s">
        <v>529</v>
      </c>
      <c r="D7" s="492" t="s">
        <v>530</v>
      </c>
      <c r="E7" s="492" t="s">
        <v>531</v>
      </c>
      <c r="F7" s="489"/>
      <c r="G7" s="489"/>
      <c r="H7" s="489"/>
    </row>
    <row r="8">
      <c r="A8" s="236"/>
      <c r="B8" s="493">
        <v>0.45</v>
      </c>
      <c r="C8" s="493">
        <v>0.45</v>
      </c>
      <c r="D8" s="488">
        <v>24.0</v>
      </c>
      <c r="E8" s="487">
        <f>((B8*C8)/D8)*C4</f>
        <v>0.2109375</v>
      </c>
      <c r="F8" s="489"/>
      <c r="G8" s="489"/>
      <c r="H8" s="489"/>
    </row>
    <row r="9">
      <c r="A9" s="236"/>
      <c r="B9" s="487"/>
      <c r="C9" s="487"/>
      <c r="D9" s="488"/>
      <c r="E9" s="489"/>
      <c r="F9" s="489"/>
      <c r="G9" s="489"/>
      <c r="H9" s="489"/>
    </row>
    <row r="10">
      <c r="A10" s="236"/>
      <c r="B10" s="487"/>
      <c r="C10" s="487"/>
      <c r="D10" s="488"/>
      <c r="E10" s="489"/>
      <c r="F10" s="489"/>
      <c r="G10" s="489"/>
      <c r="H10" s="489"/>
    </row>
    <row r="11">
      <c r="A11" s="494"/>
      <c r="B11" s="495" t="s">
        <v>532</v>
      </c>
      <c r="C11" s="31"/>
      <c r="D11" s="496" t="s">
        <v>533</v>
      </c>
      <c r="E11" s="497" t="s">
        <v>534</v>
      </c>
      <c r="F11" s="497" t="s">
        <v>535</v>
      </c>
      <c r="G11" s="498" t="s">
        <v>536</v>
      </c>
      <c r="H11" s="498" t="s">
        <v>537</v>
      </c>
      <c r="I11" s="497" t="s">
        <v>538</v>
      </c>
      <c r="J11" s="499" t="s">
        <v>539</v>
      </c>
      <c r="K11" s="500" t="s">
        <v>540</v>
      </c>
      <c r="L11" s="192" t="s">
        <v>541</v>
      </c>
    </row>
    <row r="12">
      <c r="A12" s="57"/>
      <c r="B12" s="501">
        <v>60.0</v>
      </c>
      <c r="C12" s="501">
        <v>90.0</v>
      </c>
      <c r="D12" s="502">
        <v>0.54</v>
      </c>
      <c r="E12" s="57"/>
      <c r="F12" s="57"/>
      <c r="G12" s="57"/>
      <c r="H12" s="57"/>
      <c r="I12" s="57"/>
      <c r="J12" s="57"/>
      <c r="K12" s="57"/>
      <c r="L12" s="57"/>
      <c r="P12" s="503">
        <v>0.012</v>
      </c>
      <c r="Q12" s="503">
        <v>0.014</v>
      </c>
    </row>
    <row r="13">
      <c r="A13" s="398" t="s">
        <v>542</v>
      </c>
      <c r="B13" s="200">
        <v>58.0</v>
      </c>
      <c r="C13" s="200">
        <v>63.4</v>
      </c>
      <c r="D13" s="398">
        <f t="shared" ref="D13:D33" si="2">B13*C13/10000</f>
        <v>0.36772</v>
      </c>
      <c r="E13" s="504">
        <f t="shared" ref="E13:F13" si="1">D13*C4</f>
        <v>9.193</v>
      </c>
      <c r="F13" s="504">
        <f t="shared" si="1"/>
        <v>0</v>
      </c>
      <c r="G13" s="505">
        <v>10.0</v>
      </c>
      <c r="H13" s="506">
        <f>R2/G13</f>
        <v>0.2834666667</v>
      </c>
      <c r="I13" s="504">
        <f t="shared" ref="I13:I17" si="4">(G13/E13)+H13</f>
        <v>1.37125085</v>
      </c>
      <c r="J13" s="507"/>
      <c r="K13" s="507"/>
      <c r="L13" s="405">
        <f t="shared" ref="L13:L33" si="5">(J13*K13)+J13</f>
        <v>0</v>
      </c>
      <c r="N13" s="486" t="s">
        <v>543</v>
      </c>
      <c r="O13" s="506">
        <v>2.15</v>
      </c>
      <c r="P13" s="10">
        <f t="shared" ref="P13:P16" si="6">O13*1.2</f>
        <v>2.58</v>
      </c>
      <c r="Q13" s="10">
        <f t="shared" ref="Q13:Q16" si="7">O13*1.4</f>
        <v>3.01</v>
      </c>
    </row>
    <row r="14">
      <c r="A14" s="405"/>
      <c r="B14" s="505">
        <v>50.0</v>
      </c>
      <c r="C14" s="505">
        <v>70.0</v>
      </c>
      <c r="D14" s="398">
        <f t="shared" si="2"/>
        <v>0.35</v>
      </c>
      <c r="E14" s="504">
        <f t="shared" ref="E14:F14" si="3">D14*C4</f>
        <v>8.75</v>
      </c>
      <c r="F14" s="504">
        <f t="shared" si="3"/>
        <v>0</v>
      </c>
      <c r="G14" s="398">
        <v>1.0</v>
      </c>
      <c r="H14" s="506">
        <f>R2/G14</f>
        <v>2.834666667</v>
      </c>
      <c r="I14" s="504">
        <f t="shared" si="4"/>
        <v>2.948952381</v>
      </c>
      <c r="J14" s="507"/>
      <c r="K14" s="507"/>
      <c r="L14" s="405">
        <f t="shared" si="5"/>
        <v>0</v>
      </c>
      <c r="O14" s="506">
        <v>2.0</v>
      </c>
      <c r="P14" s="10">
        <f t="shared" si="6"/>
        <v>2.4</v>
      </c>
      <c r="Q14" s="10">
        <f t="shared" si="7"/>
        <v>2.8</v>
      </c>
    </row>
    <row r="15">
      <c r="A15" s="398" t="s">
        <v>544</v>
      </c>
      <c r="B15" s="505">
        <v>9.5</v>
      </c>
      <c r="C15" s="505">
        <v>1.7</v>
      </c>
      <c r="D15" s="398">
        <f t="shared" si="2"/>
        <v>0.001615</v>
      </c>
      <c r="E15" s="504">
        <f t="shared" ref="E15:F15" si="8">D15*C4</f>
        <v>0.040375</v>
      </c>
      <c r="F15" s="504">
        <f t="shared" si="8"/>
        <v>0</v>
      </c>
      <c r="G15" s="398">
        <v>0.0</v>
      </c>
      <c r="H15" s="506" t="str">
        <f>P3/G15</f>
        <v>#DIV/0!</v>
      </c>
      <c r="I15" s="405" t="str">
        <f t="shared" si="4"/>
        <v>#DIV/0!</v>
      </c>
      <c r="J15" s="507"/>
      <c r="K15" s="507"/>
      <c r="L15" s="405">
        <f t="shared" si="5"/>
        <v>0</v>
      </c>
      <c r="O15" s="506">
        <v>2.3</v>
      </c>
      <c r="P15" s="10">
        <f t="shared" si="6"/>
        <v>2.76</v>
      </c>
      <c r="Q15" s="10">
        <f t="shared" si="7"/>
        <v>3.22</v>
      </c>
    </row>
    <row r="16">
      <c r="A16" s="398" t="s">
        <v>545</v>
      </c>
      <c r="B16" s="505">
        <v>8.0</v>
      </c>
      <c r="C16" s="505">
        <v>8.0</v>
      </c>
      <c r="D16" s="398">
        <f t="shared" si="2"/>
        <v>0.0064</v>
      </c>
      <c r="E16" s="504">
        <f t="shared" ref="E16:F16" si="9">D16*C4</f>
        <v>0.16</v>
      </c>
      <c r="F16" s="504">
        <f t="shared" si="9"/>
        <v>0</v>
      </c>
      <c r="G16" s="398">
        <v>1.0</v>
      </c>
      <c r="H16" s="506">
        <f>L4/G16</f>
        <v>0</v>
      </c>
      <c r="I16" s="504">
        <f t="shared" si="4"/>
        <v>6.25</v>
      </c>
      <c r="J16" s="507"/>
      <c r="K16" s="507"/>
      <c r="L16" s="405">
        <f t="shared" si="5"/>
        <v>0</v>
      </c>
      <c r="O16" s="506">
        <v>2.8</v>
      </c>
      <c r="P16" s="10">
        <f t="shared" si="6"/>
        <v>3.36</v>
      </c>
      <c r="Q16" s="10">
        <f t="shared" si="7"/>
        <v>3.92</v>
      </c>
    </row>
    <row r="17">
      <c r="A17" s="398" t="s">
        <v>545</v>
      </c>
      <c r="B17" s="505">
        <v>5.5</v>
      </c>
      <c r="C17" s="505">
        <v>5.5</v>
      </c>
      <c r="D17" s="398">
        <f t="shared" si="2"/>
        <v>0.003025</v>
      </c>
      <c r="E17" s="504">
        <f t="shared" ref="E17:F17" si="10">D17*C4</f>
        <v>0.075625</v>
      </c>
      <c r="F17" s="504">
        <f t="shared" si="10"/>
        <v>0</v>
      </c>
      <c r="G17" s="398">
        <v>1.0</v>
      </c>
      <c r="H17" s="506">
        <v>17.5</v>
      </c>
      <c r="I17" s="504">
        <f t="shared" si="4"/>
        <v>30.7231405</v>
      </c>
      <c r="J17" s="507"/>
      <c r="K17" s="507"/>
      <c r="L17" s="405">
        <f t="shared" si="5"/>
        <v>0</v>
      </c>
    </row>
    <row r="18">
      <c r="A18" s="398" t="s">
        <v>546</v>
      </c>
      <c r="B18" s="505">
        <v>17.0</v>
      </c>
      <c r="C18" s="505">
        <v>0.7</v>
      </c>
      <c r="D18" s="398">
        <f t="shared" si="2"/>
        <v>0.00119</v>
      </c>
      <c r="E18" s="504">
        <f t="shared" ref="E18:E19" si="11">D18*C4</f>
        <v>0.02975</v>
      </c>
      <c r="F18" s="398">
        <v>0.38</v>
      </c>
      <c r="G18" s="398">
        <v>52.0</v>
      </c>
      <c r="H18" s="506">
        <v>2.15</v>
      </c>
      <c r="I18" s="504">
        <f t="shared" ref="I18:I26" si="12">(H18+F18)*G18</f>
        <v>131.56</v>
      </c>
      <c r="J18" s="508">
        <f t="shared" ref="J18:J33" si="13">I18/G18</f>
        <v>2.53</v>
      </c>
      <c r="K18" s="509">
        <v>0.2</v>
      </c>
      <c r="L18" s="504">
        <f t="shared" si="5"/>
        <v>3.036</v>
      </c>
    </row>
    <row r="19">
      <c r="A19" s="398" t="s">
        <v>547</v>
      </c>
      <c r="B19" s="505">
        <v>17.0</v>
      </c>
      <c r="C19" s="505">
        <v>0.7</v>
      </c>
      <c r="D19" s="398">
        <f t="shared" si="2"/>
        <v>0.00119</v>
      </c>
      <c r="E19" s="504">
        <f t="shared" si="11"/>
        <v>0</v>
      </c>
      <c r="F19" s="398">
        <v>1.25</v>
      </c>
      <c r="G19" s="398">
        <v>2.0</v>
      </c>
      <c r="H19" s="506">
        <v>2.0</v>
      </c>
      <c r="I19" s="504">
        <f t="shared" si="12"/>
        <v>6.5</v>
      </c>
      <c r="J19" s="508">
        <f t="shared" si="13"/>
        <v>3.25</v>
      </c>
      <c r="K19" s="509">
        <v>0.2</v>
      </c>
      <c r="L19" s="504">
        <f t="shared" si="5"/>
        <v>3.9</v>
      </c>
    </row>
    <row r="20">
      <c r="A20" s="398" t="s">
        <v>548</v>
      </c>
      <c r="B20" s="505">
        <v>5.5</v>
      </c>
      <c r="C20" s="505">
        <v>5.5</v>
      </c>
      <c r="D20" s="398">
        <f t="shared" si="2"/>
        <v>0.003025</v>
      </c>
      <c r="E20" s="504">
        <f>D20*C4</f>
        <v>0.075625</v>
      </c>
      <c r="F20" s="398">
        <v>1.38</v>
      </c>
      <c r="G20" s="398">
        <v>8.0</v>
      </c>
      <c r="H20" s="506">
        <v>2.3</v>
      </c>
      <c r="I20" s="504">
        <f t="shared" si="12"/>
        <v>29.44</v>
      </c>
      <c r="J20" s="508">
        <f t="shared" si="13"/>
        <v>3.68</v>
      </c>
      <c r="K20" s="509">
        <v>0.2</v>
      </c>
      <c r="L20" s="504">
        <f t="shared" si="5"/>
        <v>4.416</v>
      </c>
    </row>
    <row r="21">
      <c r="A21" s="398" t="s">
        <v>549</v>
      </c>
      <c r="B21" s="505">
        <v>5.5</v>
      </c>
      <c r="C21" s="505">
        <v>5.5</v>
      </c>
      <c r="D21" s="398">
        <f t="shared" si="2"/>
        <v>0.003025</v>
      </c>
      <c r="E21" s="504">
        <f>D21*C4</f>
        <v>0.075625</v>
      </c>
      <c r="F21" s="398">
        <v>7.0</v>
      </c>
      <c r="G21" s="398">
        <v>1.0</v>
      </c>
      <c r="H21" s="506">
        <v>2.8</v>
      </c>
      <c r="I21" s="504">
        <f t="shared" si="12"/>
        <v>9.8</v>
      </c>
      <c r="J21" s="508">
        <f t="shared" si="13"/>
        <v>9.8</v>
      </c>
      <c r="K21" s="509">
        <v>0.2</v>
      </c>
      <c r="L21" s="504">
        <f t="shared" si="5"/>
        <v>11.76</v>
      </c>
    </row>
    <row r="22">
      <c r="A22" s="398" t="s">
        <v>546</v>
      </c>
      <c r="B22" s="505">
        <v>17.0</v>
      </c>
      <c r="C22" s="505">
        <v>0.7</v>
      </c>
      <c r="D22" s="398">
        <f t="shared" si="2"/>
        <v>0.00119</v>
      </c>
      <c r="E22" s="504">
        <f>D22*C4</f>
        <v>0.02975</v>
      </c>
      <c r="F22" s="398">
        <v>0.38</v>
      </c>
      <c r="G22" s="398">
        <v>52.0</v>
      </c>
      <c r="H22" s="506">
        <v>2.15</v>
      </c>
      <c r="I22" s="504">
        <f t="shared" si="12"/>
        <v>131.56</v>
      </c>
      <c r="J22" s="508">
        <f t="shared" si="13"/>
        <v>2.53</v>
      </c>
      <c r="K22" s="509">
        <v>0.2</v>
      </c>
      <c r="L22" s="504">
        <f t="shared" si="5"/>
        <v>3.036</v>
      </c>
    </row>
    <row r="23">
      <c r="A23" s="398" t="s">
        <v>547</v>
      </c>
      <c r="B23" s="505">
        <v>17.0</v>
      </c>
      <c r="C23" s="505">
        <v>0.7</v>
      </c>
      <c r="D23" s="398">
        <f t="shared" si="2"/>
        <v>0.00119</v>
      </c>
      <c r="E23" s="504">
        <f>D23*C4</f>
        <v>0.02975</v>
      </c>
      <c r="F23" s="398">
        <v>1.25</v>
      </c>
      <c r="G23" s="398">
        <v>2.0</v>
      </c>
      <c r="H23" s="506">
        <v>2.0</v>
      </c>
      <c r="I23" s="504">
        <f t="shared" si="12"/>
        <v>6.5</v>
      </c>
      <c r="J23" s="508">
        <f t="shared" si="13"/>
        <v>3.25</v>
      </c>
      <c r="K23" s="509">
        <v>0.2</v>
      </c>
      <c r="L23" s="504">
        <f t="shared" si="5"/>
        <v>3.9</v>
      </c>
    </row>
    <row r="24">
      <c r="A24" s="398" t="s">
        <v>548</v>
      </c>
      <c r="B24" s="505">
        <v>5.5</v>
      </c>
      <c r="C24" s="505">
        <v>5.5</v>
      </c>
      <c r="D24" s="398">
        <f t="shared" si="2"/>
        <v>0.003025</v>
      </c>
      <c r="E24" s="504">
        <f>D24*C4</f>
        <v>0.075625</v>
      </c>
      <c r="F24" s="398">
        <v>1.38</v>
      </c>
      <c r="G24" s="398">
        <v>8.0</v>
      </c>
      <c r="H24" s="506">
        <v>2.3</v>
      </c>
      <c r="I24" s="504">
        <f t="shared" si="12"/>
        <v>29.44</v>
      </c>
      <c r="J24" s="508">
        <f t="shared" si="13"/>
        <v>3.68</v>
      </c>
      <c r="K24" s="509">
        <v>0.2</v>
      </c>
      <c r="L24" s="504">
        <f t="shared" si="5"/>
        <v>4.416</v>
      </c>
    </row>
    <row r="25">
      <c r="A25" s="398" t="s">
        <v>549</v>
      </c>
      <c r="B25" s="505">
        <v>5.5</v>
      </c>
      <c r="C25" s="505">
        <v>5.5</v>
      </c>
      <c r="D25" s="398">
        <f t="shared" si="2"/>
        <v>0.003025</v>
      </c>
      <c r="E25" s="504">
        <f>D25*C4</f>
        <v>0.075625</v>
      </c>
      <c r="F25" s="398">
        <v>7.0</v>
      </c>
      <c r="G25" s="398">
        <v>1.0</v>
      </c>
      <c r="H25" s="506">
        <v>2.8</v>
      </c>
      <c r="I25" s="504">
        <f t="shared" si="12"/>
        <v>9.8</v>
      </c>
      <c r="J25" s="508">
        <f t="shared" si="13"/>
        <v>9.8</v>
      </c>
      <c r="K25" s="509">
        <v>0.2</v>
      </c>
      <c r="L25" s="504">
        <f t="shared" si="5"/>
        <v>11.76</v>
      </c>
    </row>
    <row r="26">
      <c r="A26" s="398" t="s">
        <v>550</v>
      </c>
      <c r="B26" s="505">
        <v>4.5</v>
      </c>
      <c r="C26" s="505">
        <v>4.5</v>
      </c>
      <c r="D26" s="398">
        <f t="shared" si="2"/>
        <v>0.002025</v>
      </c>
      <c r="E26" s="504">
        <f>D26*C4</f>
        <v>0.050625</v>
      </c>
      <c r="F26" s="398">
        <v>0.21</v>
      </c>
      <c r="G26" s="398">
        <v>500.0</v>
      </c>
      <c r="H26" s="506">
        <v>0.78</v>
      </c>
      <c r="I26" s="504">
        <f t="shared" si="12"/>
        <v>495</v>
      </c>
      <c r="J26" s="508">
        <f t="shared" si="13"/>
        <v>0.99</v>
      </c>
      <c r="K26" s="509">
        <v>0.4</v>
      </c>
      <c r="L26" s="504">
        <f t="shared" si="5"/>
        <v>1.386</v>
      </c>
    </row>
    <row r="27">
      <c r="A27" s="398" t="s">
        <v>550</v>
      </c>
      <c r="B27" s="505">
        <v>58.0</v>
      </c>
      <c r="C27" s="505">
        <v>63.4</v>
      </c>
      <c r="D27" s="398">
        <f t="shared" si="2"/>
        <v>0.36772</v>
      </c>
      <c r="E27" s="504">
        <f>D27*C4</f>
        <v>9.193</v>
      </c>
      <c r="F27" s="398">
        <v>0.0</v>
      </c>
      <c r="G27" s="398">
        <v>1.0</v>
      </c>
      <c r="H27" s="506">
        <v>0.28</v>
      </c>
      <c r="I27" s="504">
        <f t="shared" ref="I27:I30" si="14">(E27+H27+F27)*G27</f>
        <v>9.473</v>
      </c>
      <c r="J27" s="508">
        <f t="shared" si="13"/>
        <v>9.473</v>
      </c>
      <c r="K27" s="509">
        <v>0.2</v>
      </c>
      <c r="L27" s="504">
        <f t="shared" si="5"/>
        <v>11.3676</v>
      </c>
    </row>
    <row r="28">
      <c r="A28" s="398" t="s">
        <v>551</v>
      </c>
      <c r="B28" s="505">
        <v>95.0</v>
      </c>
      <c r="C28" s="505">
        <v>30.0</v>
      </c>
      <c r="D28" s="398">
        <f t="shared" si="2"/>
        <v>0.285</v>
      </c>
      <c r="E28" s="504">
        <f>D28*C4</f>
        <v>7.125</v>
      </c>
      <c r="F28" s="398">
        <v>0.0</v>
      </c>
      <c r="G28" s="398">
        <v>1.0</v>
      </c>
      <c r="H28" s="506">
        <v>6.0</v>
      </c>
      <c r="I28" s="504">
        <f t="shared" si="14"/>
        <v>13.125</v>
      </c>
      <c r="J28" s="508">
        <f t="shared" si="13"/>
        <v>13.125</v>
      </c>
      <c r="K28" s="509">
        <v>0.2</v>
      </c>
      <c r="L28" s="504">
        <f t="shared" si="5"/>
        <v>15.75</v>
      </c>
    </row>
    <row r="29">
      <c r="A29" s="398" t="s">
        <v>552</v>
      </c>
      <c r="B29" s="505">
        <v>4.0</v>
      </c>
      <c r="C29" s="505">
        <v>4.0</v>
      </c>
      <c r="D29" s="398">
        <f t="shared" si="2"/>
        <v>0.0016</v>
      </c>
      <c r="E29" s="504">
        <f>D29*C4</f>
        <v>0.04</v>
      </c>
      <c r="F29" s="398">
        <v>0.0</v>
      </c>
      <c r="G29" s="398">
        <v>100.0</v>
      </c>
      <c r="H29" s="506">
        <v>0.1</v>
      </c>
      <c r="I29" s="504">
        <f t="shared" si="14"/>
        <v>14</v>
      </c>
      <c r="J29" s="508">
        <f t="shared" si="13"/>
        <v>0.14</v>
      </c>
      <c r="K29" s="509">
        <v>0.4</v>
      </c>
      <c r="L29" s="504">
        <f t="shared" si="5"/>
        <v>0.196</v>
      </c>
    </row>
    <row r="30">
      <c r="A30" s="398" t="s">
        <v>552</v>
      </c>
      <c r="B30" s="505">
        <v>46.0</v>
      </c>
      <c r="C30" s="505">
        <v>32.0</v>
      </c>
      <c r="D30" s="398">
        <f t="shared" si="2"/>
        <v>0.1472</v>
      </c>
      <c r="E30" s="504">
        <f>D30*C4</f>
        <v>3.68</v>
      </c>
      <c r="F30" s="398">
        <v>0.0</v>
      </c>
      <c r="G30" s="398">
        <v>21.0</v>
      </c>
      <c r="H30" s="506">
        <v>0.038</v>
      </c>
      <c r="I30" s="504">
        <f t="shared" si="14"/>
        <v>78.078</v>
      </c>
      <c r="J30" s="508">
        <f t="shared" si="13"/>
        <v>3.718</v>
      </c>
      <c r="K30" s="509">
        <v>0.4</v>
      </c>
      <c r="L30" s="504">
        <f t="shared" si="5"/>
        <v>5.2052</v>
      </c>
    </row>
    <row r="31">
      <c r="A31" s="398" t="s">
        <v>553</v>
      </c>
      <c r="B31" s="200">
        <v>50.0</v>
      </c>
      <c r="C31" s="200">
        <v>50.0</v>
      </c>
      <c r="D31" s="398">
        <f t="shared" si="2"/>
        <v>0.25</v>
      </c>
      <c r="E31" s="504">
        <f>D31*C4</f>
        <v>6.25</v>
      </c>
      <c r="F31" s="398">
        <v>0.0</v>
      </c>
      <c r="G31" s="505">
        <v>2.0</v>
      </c>
      <c r="H31" s="506">
        <v>2.83</v>
      </c>
      <c r="I31" s="504">
        <f>(E31+H31)*G31</f>
        <v>18.16</v>
      </c>
      <c r="J31" s="508">
        <f t="shared" si="13"/>
        <v>9.08</v>
      </c>
      <c r="K31" s="509">
        <v>0.4</v>
      </c>
      <c r="L31" s="504">
        <f t="shared" si="5"/>
        <v>12.712</v>
      </c>
      <c r="N31" s="486"/>
      <c r="O31" s="506"/>
    </row>
    <row r="32">
      <c r="A32" s="398" t="s">
        <v>554</v>
      </c>
      <c r="B32" s="200">
        <v>55.0</v>
      </c>
      <c r="C32" s="200">
        <v>80.0</v>
      </c>
      <c r="D32" s="398">
        <f t="shared" si="2"/>
        <v>0.44</v>
      </c>
      <c r="E32" s="504">
        <f>D32*C4</f>
        <v>11</v>
      </c>
      <c r="F32" s="398">
        <v>0.0</v>
      </c>
      <c r="G32" s="505">
        <v>64.0</v>
      </c>
      <c r="H32" s="506">
        <v>3.06</v>
      </c>
      <c r="I32" s="504">
        <f>(E32+H32)</f>
        <v>14.06</v>
      </c>
      <c r="J32" s="508">
        <f t="shared" si="13"/>
        <v>0.2196875</v>
      </c>
      <c r="K32" s="509">
        <v>0.4</v>
      </c>
      <c r="L32" s="504">
        <f t="shared" si="5"/>
        <v>0.3075625</v>
      </c>
      <c r="N32" s="486"/>
      <c r="O32" s="506"/>
    </row>
    <row r="33">
      <c r="A33" s="398" t="s">
        <v>555</v>
      </c>
      <c r="B33" s="505">
        <v>20.0</v>
      </c>
      <c r="C33" s="505">
        <v>60.0</v>
      </c>
      <c r="D33" s="398">
        <f t="shared" si="2"/>
        <v>0.12</v>
      </c>
      <c r="E33" s="504">
        <f>D33*C4</f>
        <v>3</v>
      </c>
      <c r="F33" s="398">
        <v>0.0</v>
      </c>
      <c r="G33" s="398">
        <v>1.0</v>
      </c>
      <c r="H33" s="506">
        <v>2.83</v>
      </c>
      <c r="I33" s="504">
        <f>(E33+H33+F33)*G33</f>
        <v>5.83</v>
      </c>
      <c r="J33" s="508">
        <f t="shared" si="13"/>
        <v>5.83</v>
      </c>
      <c r="K33" s="509">
        <v>0.4</v>
      </c>
      <c r="L33" s="504">
        <f t="shared" si="5"/>
        <v>8.162</v>
      </c>
    </row>
  </sheetData>
  <mergeCells count="12">
    <mergeCell ref="H11:H12"/>
    <mergeCell ref="I11:I12"/>
    <mergeCell ref="J11:J12"/>
    <mergeCell ref="K11:K12"/>
    <mergeCell ref="L11:L12"/>
    <mergeCell ref="A1:C1"/>
    <mergeCell ref="F1:G1"/>
    <mergeCell ref="A11:A12"/>
    <mergeCell ref="B11:C11"/>
    <mergeCell ref="E11:E12"/>
    <mergeCell ref="F11:F12"/>
    <mergeCell ref="G11:G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5.13"/>
    <col customWidth="1" min="7" max="10" width="18.88"/>
  </cols>
  <sheetData>
    <row r="1" ht="45.0" customHeight="1">
      <c r="A1" s="89" t="s">
        <v>95</v>
      </c>
      <c r="B1" s="89" t="s">
        <v>408</v>
      </c>
      <c r="C1" s="89" t="s">
        <v>556</v>
      </c>
      <c r="D1" s="89" t="s">
        <v>557</v>
      </c>
      <c r="E1" s="191" t="s">
        <v>410</v>
      </c>
      <c r="F1" s="89" t="s">
        <v>329</v>
      </c>
      <c r="G1" s="191" t="s">
        <v>414</v>
      </c>
      <c r="H1" s="12" t="s">
        <v>415</v>
      </c>
      <c r="I1" s="353" t="s">
        <v>134</v>
      </c>
      <c r="J1" s="45" t="s">
        <v>416</v>
      </c>
    </row>
    <row r="2" ht="45.0" customHeight="1">
      <c r="A2" s="16" t="s">
        <v>558</v>
      </c>
      <c r="B2" s="16" t="s">
        <v>559</v>
      </c>
      <c r="C2" s="16"/>
      <c r="D2" s="16" t="s">
        <v>560</v>
      </c>
      <c r="E2" s="412">
        <v>15.54</v>
      </c>
      <c r="F2" s="16" t="s">
        <v>561</v>
      </c>
      <c r="G2" s="412">
        <v>35.0</v>
      </c>
      <c r="H2" s="413">
        <f t="shared" ref="H2:H8" si="1">E2+G2</f>
        <v>50.54</v>
      </c>
      <c r="I2" s="355">
        <v>0.4</v>
      </c>
      <c r="J2" s="356">
        <f t="shared" ref="J2:J8" si="2">SUM((H2*I2)+H2)</f>
        <v>70.756</v>
      </c>
    </row>
    <row r="3" ht="45.0" customHeight="1">
      <c r="A3" s="16" t="s">
        <v>558</v>
      </c>
      <c r="B3" s="16" t="s">
        <v>562</v>
      </c>
      <c r="C3" s="16"/>
      <c r="D3" s="16" t="s">
        <v>563</v>
      </c>
      <c r="E3" s="412">
        <v>44.75</v>
      </c>
      <c r="F3" s="16" t="s">
        <v>564</v>
      </c>
      <c r="G3" s="412">
        <v>32.39</v>
      </c>
      <c r="H3" s="413">
        <f t="shared" si="1"/>
        <v>77.14</v>
      </c>
      <c r="I3" s="355">
        <v>0.4</v>
      </c>
      <c r="J3" s="356">
        <f t="shared" si="2"/>
        <v>107.996</v>
      </c>
    </row>
    <row r="4" ht="45.0" customHeight="1">
      <c r="A4" s="16" t="s">
        <v>565</v>
      </c>
      <c r="B4" s="16" t="s">
        <v>566</v>
      </c>
      <c r="C4" s="16"/>
      <c r="D4" s="16" t="s">
        <v>567</v>
      </c>
      <c r="E4" s="412">
        <v>100.42</v>
      </c>
      <c r="F4" s="16" t="s">
        <v>568</v>
      </c>
      <c r="G4" s="412">
        <v>45.0</v>
      </c>
      <c r="H4" s="413">
        <f t="shared" si="1"/>
        <v>145.42</v>
      </c>
      <c r="I4" s="355">
        <v>0.4</v>
      </c>
      <c r="J4" s="356">
        <f t="shared" si="2"/>
        <v>203.588</v>
      </c>
      <c r="K4" s="510" t="s">
        <v>569</v>
      </c>
    </row>
    <row r="5" ht="45.0" customHeight="1">
      <c r="A5" s="16" t="s">
        <v>147</v>
      </c>
      <c r="B5" s="16" t="s">
        <v>570</v>
      </c>
      <c r="C5" s="16"/>
      <c r="D5" s="16"/>
      <c r="E5" s="412"/>
      <c r="F5" s="16" t="s">
        <v>571</v>
      </c>
      <c r="G5" s="412">
        <v>72.0</v>
      </c>
      <c r="H5" s="413">
        <f t="shared" si="1"/>
        <v>72</v>
      </c>
      <c r="I5" s="355">
        <v>0.2</v>
      </c>
      <c r="J5" s="356">
        <f t="shared" si="2"/>
        <v>86.4</v>
      </c>
      <c r="K5" s="511">
        <v>25.0</v>
      </c>
    </row>
    <row r="6">
      <c r="A6" s="16" t="s">
        <v>203</v>
      </c>
      <c r="B6" s="16" t="s">
        <v>559</v>
      </c>
      <c r="C6" s="16"/>
      <c r="D6" s="16" t="s">
        <v>572</v>
      </c>
      <c r="E6" s="412">
        <v>16.91</v>
      </c>
      <c r="F6" s="16" t="s">
        <v>573</v>
      </c>
      <c r="G6" s="412">
        <v>35.0</v>
      </c>
      <c r="H6" s="413">
        <f t="shared" si="1"/>
        <v>51.91</v>
      </c>
      <c r="I6" s="355">
        <v>0.4</v>
      </c>
      <c r="J6" s="356">
        <f t="shared" si="2"/>
        <v>72.674</v>
      </c>
    </row>
    <row r="7">
      <c r="A7" s="16" t="s">
        <v>203</v>
      </c>
      <c r="B7" s="16" t="s">
        <v>559</v>
      </c>
      <c r="C7" s="16"/>
      <c r="D7" s="16" t="s">
        <v>572</v>
      </c>
      <c r="E7" s="412">
        <v>16.91</v>
      </c>
      <c r="F7" s="16" t="s">
        <v>574</v>
      </c>
      <c r="G7" s="412">
        <v>30.0</v>
      </c>
      <c r="H7" s="413">
        <f t="shared" si="1"/>
        <v>46.91</v>
      </c>
      <c r="I7" s="355">
        <v>0.4</v>
      </c>
      <c r="J7" s="356">
        <f t="shared" si="2"/>
        <v>65.674</v>
      </c>
    </row>
    <row r="8">
      <c r="A8" s="16" t="s">
        <v>575</v>
      </c>
      <c r="B8" s="16" t="s">
        <v>559</v>
      </c>
      <c r="C8" s="16"/>
      <c r="D8" s="16" t="s">
        <v>572</v>
      </c>
      <c r="E8" s="412">
        <v>16.91</v>
      </c>
      <c r="F8" s="16" t="s">
        <v>574</v>
      </c>
      <c r="G8" s="412">
        <v>30.0</v>
      </c>
      <c r="H8" s="413">
        <f t="shared" si="1"/>
        <v>46.91</v>
      </c>
      <c r="I8" s="355">
        <v>0.4</v>
      </c>
      <c r="J8" s="356">
        <f t="shared" si="2"/>
        <v>65.674</v>
      </c>
    </row>
    <row r="9">
      <c r="E9" s="512"/>
      <c r="G9" s="285"/>
    </row>
    <row r="10">
      <c r="E10" s="512"/>
      <c r="G10" s="285"/>
    </row>
    <row r="11">
      <c r="E11" s="512"/>
      <c r="G11" s="285"/>
    </row>
    <row r="12">
      <c r="E12" s="512"/>
      <c r="G12" s="285"/>
    </row>
    <row r="13">
      <c r="E13" s="512"/>
      <c r="G13" s="285"/>
    </row>
    <row r="14">
      <c r="E14" s="512"/>
      <c r="G14" s="285"/>
    </row>
    <row r="15">
      <c r="E15" s="512"/>
      <c r="G15" s="285"/>
    </row>
    <row r="16">
      <c r="E16" s="512"/>
      <c r="G16" s="285"/>
    </row>
    <row r="17">
      <c r="E17" s="512"/>
      <c r="G17" s="285"/>
    </row>
    <row r="18">
      <c r="E18" s="512"/>
      <c r="G18" s="285"/>
    </row>
    <row r="19">
      <c r="E19" s="512"/>
      <c r="G19" s="285"/>
    </row>
    <row r="20">
      <c r="E20" s="512"/>
      <c r="G20" s="285"/>
    </row>
    <row r="21">
      <c r="E21" s="512"/>
      <c r="G21" s="285"/>
    </row>
    <row r="22">
      <c r="E22" s="512"/>
      <c r="G22" s="285"/>
    </row>
    <row r="23">
      <c r="E23" s="512"/>
      <c r="G23" s="285"/>
    </row>
    <row r="24">
      <c r="E24" s="512"/>
      <c r="G24" s="285"/>
    </row>
    <row r="25">
      <c r="E25" s="512"/>
      <c r="G25" s="285"/>
    </row>
    <row r="26">
      <c r="E26" s="512"/>
      <c r="G26" s="285"/>
    </row>
    <row r="27">
      <c r="E27" s="512"/>
      <c r="G27" s="285"/>
    </row>
    <row r="28">
      <c r="E28" s="512"/>
      <c r="G28" s="285"/>
    </row>
    <row r="29">
      <c r="E29" s="512"/>
      <c r="G29" s="285"/>
    </row>
    <row r="30">
      <c r="E30" s="512"/>
      <c r="G30" s="285"/>
    </row>
    <row r="31">
      <c r="E31" s="512"/>
      <c r="G31" s="285"/>
    </row>
    <row r="32">
      <c r="E32" s="512"/>
      <c r="G32" s="285"/>
    </row>
    <row r="33">
      <c r="E33" s="512"/>
      <c r="G33" s="285"/>
    </row>
    <row r="34">
      <c r="E34" s="512"/>
      <c r="G34" s="285"/>
    </row>
    <row r="35">
      <c r="E35" s="512"/>
      <c r="G35" s="285"/>
    </row>
    <row r="36">
      <c r="E36" s="512"/>
      <c r="G36" s="285"/>
    </row>
    <row r="37">
      <c r="E37" s="512"/>
      <c r="G37" s="285"/>
    </row>
    <row r="38">
      <c r="E38" s="512"/>
      <c r="G38" s="285"/>
    </row>
    <row r="39">
      <c r="E39" s="512"/>
      <c r="G39" s="285"/>
    </row>
    <row r="40">
      <c r="E40" s="512"/>
      <c r="G40" s="285"/>
    </row>
    <row r="41">
      <c r="E41" s="512"/>
      <c r="G41" s="285"/>
    </row>
    <row r="42">
      <c r="E42" s="512"/>
      <c r="G42" s="285"/>
    </row>
    <row r="43">
      <c r="E43" s="512"/>
      <c r="G43" s="285"/>
    </row>
    <row r="44">
      <c r="E44" s="512"/>
      <c r="G44" s="285"/>
    </row>
    <row r="45">
      <c r="E45" s="512"/>
      <c r="G45" s="285"/>
    </row>
    <row r="46">
      <c r="E46" s="512"/>
      <c r="G46" s="285"/>
    </row>
    <row r="47">
      <c r="E47" s="512"/>
      <c r="G47" s="285"/>
    </row>
    <row r="48">
      <c r="E48" s="512"/>
      <c r="G48" s="285"/>
    </row>
    <row r="49">
      <c r="E49" s="512"/>
      <c r="G49" s="285"/>
    </row>
    <row r="50">
      <c r="E50" s="512"/>
      <c r="G50" s="285"/>
    </row>
    <row r="51">
      <c r="E51" s="512"/>
      <c r="G51" s="285"/>
    </row>
    <row r="52">
      <c r="E52" s="512"/>
      <c r="G52" s="285"/>
    </row>
    <row r="53">
      <c r="E53" s="512"/>
      <c r="G53" s="285"/>
    </row>
    <row r="54">
      <c r="E54" s="512"/>
      <c r="G54" s="285"/>
    </row>
    <row r="55">
      <c r="E55" s="512"/>
      <c r="G55" s="285"/>
    </row>
    <row r="56">
      <c r="E56" s="512"/>
      <c r="G56" s="285"/>
    </row>
    <row r="57">
      <c r="E57" s="512"/>
      <c r="G57" s="285"/>
    </row>
    <row r="58">
      <c r="E58" s="512"/>
      <c r="G58" s="285"/>
    </row>
    <row r="59">
      <c r="E59" s="512"/>
      <c r="G59" s="285"/>
    </row>
    <row r="60">
      <c r="E60" s="512"/>
      <c r="G60" s="285"/>
    </row>
    <row r="61">
      <c r="E61" s="512"/>
      <c r="G61" s="285"/>
    </row>
    <row r="62">
      <c r="E62" s="512"/>
      <c r="G62" s="285"/>
    </row>
    <row r="63">
      <c r="E63" s="512"/>
      <c r="G63" s="285"/>
    </row>
    <row r="64">
      <c r="E64" s="512"/>
      <c r="G64" s="285"/>
    </row>
    <row r="65">
      <c r="E65" s="512"/>
      <c r="G65" s="285"/>
    </row>
    <row r="66">
      <c r="E66" s="512"/>
      <c r="G66" s="285"/>
    </row>
    <row r="67">
      <c r="E67" s="512"/>
      <c r="G67" s="285"/>
    </row>
    <row r="68">
      <c r="E68" s="512"/>
      <c r="G68" s="285"/>
    </row>
    <row r="69">
      <c r="E69" s="512"/>
      <c r="G69" s="285"/>
    </row>
    <row r="70">
      <c r="E70" s="512"/>
      <c r="G70" s="285"/>
    </row>
    <row r="71">
      <c r="E71" s="512"/>
      <c r="G71" s="285"/>
    </row>
    <row r="72">
      <c r="E72" s="512"/>
      <c r="G72" s="285"/>
    </row>
    <row r="73">
      <c r="E73" s="512"/>
      <c r="G73" s="285"/>
    </row>
    <row r="74">
      <c r="E74" s="512"/>
      <c r="G74" s="285"/>
    </row>
    <row r="75">
      <c r="E75" s="512"/>
      <c r="G75" s="285"/>
    </row>
    <row r="76">
      <c r="E76" s="512"/>
      <c r="G76" s="285"/>
    </row>
    <row r="77">
      <c r="E77" s="512"/>
      <c r="G77" s="285"/>
    </row>
    <row r="78">
      <c r="E78" s="512"/>
      <c r="G78" s="285"/>
    </row>
    <row r="79">
      <c r="E79" s="512"/>
      <c r="G79" s="285"/>
    </row>
    <row r="80">
      <c r="E80" s="512"/>
      <c r="G80" s="285"/>
    </row>
    <row r="81">
      <c r="E81" s="512"/>
      <c r="G81" s="285"/>
    </row>
    <row r="82">
      <c r="E82" s="512"/>
      <c r="G82" s="285"/>
    </row>
    <row r="83">
      <c r="E83" s="512"/>
      <c r="G83" s="285"/>
    </row>
    <row r="84">
      <c r="E84" s="512"/>
      <c r="G84" s="285"/>
    </row>
    <row r="85">
      <c r="E85" s="512"/>
      <c r="G85" s="285"/>
    </row>
    <row r="86">
      <c r="E86" s="512"/>
      <c r="G86" s="285"/>
    </row>
    <row r="87">
      <c r="E87" s="512"/>
      <c r="G87" s="285"/>
    </row>
    <row r="88">
      <c r="E88" s="512"/>
      <c r="G88" s="285"/>
    </row>
    <row r="89">
      <c r="E89" s="512"/>
      <c r="G89" s="285"/>
    </row>
    <row r="90">
      <c r="E90" s="512"/>
      <c r="G90" s="285"/>
    </row>
    <row r="91">
      <c r="E91" s="512"/>
      <c r="G91" s="285"/>
    </row>
    <row r="92">
      <c r="E92" s="512"/>
      <c r="G92" s="285"/>
    </row>
    <row r="93">
      <c r="E93" s="512"/>
      <c r="G93" s="285"/>
    </row>
    <row r="94">
      <c r="E94" s="512"/>
      <c r="G94" s="285"/>
    </row>
    <row r="95">
      <c r="E95" s="512"/>
      <c r="G95" s="285"/>
    </row>
    <row r="96">
      <c r="E96" s="512"/>
      <c r="G96" s="285"/>
    </row>
    <row r="97">
      <c r="E97" s="512"/>
      <c r="G97" s="285"/>
    </row>
    <row r="98">
      <c r="E98" s="512"/>
      <c r="G98" s="285"/>
    </row>
    <row r="99">
      <c r="E99" s="512"/>
      <c r="G99" s="285"/>
    </row>
    <row r="100">
      <c r="E100" s="512"/>
      <c r="G100" s="285"/>
    </row>
    <row r="101">
      <c r="E101" s="512"/>
      <c r="G101" s="285"/>
    </row>
    <row r="102">
      <c r="E102" s="512"/>
      <c r="G102" s="285"/>
    </row>
    <row r="103">
      <c r="E103" s="512"/>
      <c r="G103" s="285"/>
    </row>
    <row r="104">
      <c r="E104" s="512"/>
      <c r="G104" s="285"/>
    </row>
    <row r="105">
      <c r="E105" s="512"/>
      <c r="G105" s="285"/>
    </row>
    <row r="106">
      <c r="E106" s="512"/>
      <c r="G106" s="285"/>
    </row>
    <row r="107">
      <c r="E107" s="512"/>
      <c r="G107" s="285"/>
    </row>
    <row r="108">
      <c r="E108" s="512"/>
      <c r="G108" s="285"/>
    </row>
    <row r="109">
      <c r="E109" s="512"/>
      <c r="G109" s="285"/>
    </row>
    <row r="110">
      <c r="E110" s="512"/>
      <c r="G110" s="285"/>
    </row>
    <row r="111">
      <c r="E111" s="512"/>
      <c r="G111" s="285"/>
    </row>
    <row r="112">
      <c r="E112" s="512"/>
      <c r="G112" s="285"/>
    </row>
    <row r="113">
      <c r="E113" s="512"/>
      <c r="G113" s="285"/>
    </row>
    <row r="114">
      <c r="E114" s="512"/>
      <c r="G114" s="285"/>
    </row>
    <row r="115">
      <c r="E115" s="512"/>
      <c r="G115" s="285"/>
    </row>
    <row r="116">
      <c r="E116" s="512"/>
      <c r="G116" s="285"/>
    </row>
    <row r="117">
      <c r="E117" s="512"/>
      <c r="G117" s="285"/>
    </row>
    <row r="118">
      <c r="E118" s="512"/>
      <c r="G118" s="285"/>
    </row>
    <row r="119">
      <c r="E119" s="512"/>
      <c r="G119" s="285"/>
    </row>
    <row r="120">
      <c r="E120" s="512"/>
      <c r="G120" s="285"/>
    </row>
    <row r="121">
      <c r="E121" s="512"/>
      <c r="G121" s="285"/>
    </row>
    <row r="122">
      <c r="E122" s="512"/>
      <c r="G122" s="285"/>
    </row>
    <row r="123">
      <c r="E123" s="512"/>
      <c r="G123" s="285"/>
    </row>
    <row r="124">
      <c r="E124" s="512"/>
      <c r="G124" s="285"/>
    </row>
    <row r="125">
      <c r="E125" s="512"/>
      <c r="G125" s="285"/>
    </row>
    <row r="126">
      <c r="E126" s="512"/>
      <c r="G126" s="285"/>
    </row>
    <row r="127">
      <c r="E127" s="512"/>
      <c r="G127" s="285"/>
    </row>
    <row r="128">
      <c r="E128" s="512"/>
      <c r="G128" s="285"/>
    </row>
    <row r="129">
      <c r="E129" s="512"/>
      <c r="G129" s="285"/>
    </row>
    <row r="130">
      <c r="E130" s="512"/>
      <c r="G130" s="285"/>
    </row>
    <row r="131">
      <c r="E131" s="512"/>
      <c r="G131" s="285"/>
    </row>
    <row r="132">
      <c r="E132" s="512"/>
      <c r="G132" s="285"/>
    </row>
    <row r="133">
      <c r="E133" s="512"/>
      <c r="G133" s="285"/>
    </row>
    <row r="134">
      <c r="E134" s="512"/>
      <c r="G134" s="285"/>
    </row>
    <row r="135">
      <c r="E135" s="512"/>
      <c r="G135" s="285"/>
    </row>
    <row r="136">
      <c r="E136" s="512"/>
      <c r="G136" s="285"/>
    </row>
    <row r="137">
      <c r="E137" s="512"/>
      <c r="G137" s="285"/>
    </row>
    <row r="138">
      <c r="E138" s="512"/>
      <c r="G138" s="285"/>
    </row>
    <row r="139">
      <c r="E139" s="512"/>
      <c r="G139" s="285"/>
    </row>
    <row r="140">
      <c r="E140" s="512"/>
      <c r="G140" s="285"/>
    </row>
    <row r="141">
      <c r="E141" s="512"/>
      <c r="G141" s="285"/>
    </row>
    <row r="142">
      <c r="E142" s="512"/>
      <c r="G142" s="285"/>
    </row>
    <row r="143">
      <c r="E143" s="512"/>
      <c r="G143" s="285"/>
    </row>
    <row r="144">
      <c r="E144" s="512"/>
      <c r="G144" s="285"/>
    </row>
    <row r="145">
      <c r="E145" s="512"/>
      <c r="G145" s="285"/>
    </row>
    <row r="146">
      <c r="E146" s="512"/>
      <c r="G146" s="285"/>
    </row>
    <row r="147">
      <c r="E147" s="512"/>
      <c r="G147" s="285"/>
    </row>
    <row r="148">
      <c r="E148" s="512"/>
      <c r="G148" s="285"/>
    </row>
    <row r="149">
      <c r="E149" s="512"/>
      <c r="G149" s="285"/>
    </row>
    <row r="150">
      <c r="E150" s="512"/>
      <c r="G150" s="285"/>
    </row>
    <row r="151">
      <c r="E151" s="512"/>
      <c r="G151" s="285"/>
    </row>
    <row r="152">
      <c r="E152" s="512"/>
      <c r="G152" s="285"/>
    </row>
    <row r="153">
      <c r="E153" s="512"/>
      <c r="G153" s="285"/>
    </row>
    <row r="154">
      <c r="E154" s="512"/>
      <c r="G154" s="285"/>
    </row>
    <row r="155">
      <c r="E155" s="512"/>
      <c r="G155" s="285"/>
    </row>
    <row r="156">
      <c r="E156" s="512"/>
      <c r="G156" s="285"/>
    </row>
    <row r="157">
      <c r="E157" s="512"/>
      <c r="G157" s="285"/>
    </row>
    <row r="158">
      <c r="E158" s="512"/>
      <c r="G158" s="285"/>
    </row>
    <row r="159">
      <c r="E159" s="512"/>
      <c r="G159" s="285"/>
    </row>
    <row r="160">
      <c r="E160" s="512"/>
      <c r="G160" s="285"/>
    </row>
    <row r="161">
      <c r="E161" s="512"/>
      <c r="G161" s="285"/>
    </row>
    <row r="162">
      <c r="E162" s="512"/>
      <c r="G162" s="285"/>
    </row>
    <row r="163">
      <c r="E163" s="512"/>
      <c r="G163" s="285"/>
    </row>
    <row r="164">
      <c r="E164" s="512"/>
      <c r="G164" s="285"/>
    </row>
    <row r="165">
      <c r="E165" s="512"/>
      <c r="G165" s="285"/>
    </row>
    <row r="166">
      <c r="E166" s="512"/>
      <c r="G166" s="285"/>
    </row>
    <row r="167">
      <c r="E167" s="512"/>
      <c r="G167" s="285"/>
    </row>
    <row r="168">
      <c r="E168" s="512"/>
      <c r="G168" s="285"/>
    </row>
    <row r="169">
      <c r="E169" s="512"/>
      <c r="G169" s="285"/>
    </row>
    <row r="170">
      <c r="E170" s="512"/>
      <c r="G170" s="285"/>
    </row>
    <row r="171">
      <c r="E171" s="512"/>
      <c r="G171" s="285"/>
    </row>
    <row r="172">
      <c r="E172" s="512"/>
      <c r="G172" s="285"/>
    </row>
    <row r="173">
      <c r="E173" s="512"/>
      <c r="G173" s="285"/>
    </row>
    <row r="174">
      <c r="E174" s="512"/>
      <c r="G174" s="285"/>
    </row>
    <row r="175">
      <c r="E175" s="512"/>
      <c r="G175" s="285"/>
    </row>
    <row r="176">
      <c r="E176" s="512"/>
      <c r="G176" s="285"/>
    </row>
    <row r="177">
      <c r="E177" s="512"/>
      <c r="G177" s="285"/>
    </row>
    <row r="178">
      <c r="E178" s="512"/>
      <c r="G178" s="285"/>
    </row>
    <row r="179">
      <c r="E179" s="512"/>
      <c r="G179" s="285"/>
    </row>
    <row r="180">
      <c r="E180" s="512"/>
      <c r="G180" s="285"/>
    </row>
    <row r="181">
      <c r="E181" s="512"/>
      <c r="G181" s="285"/>
    </row>
    <row r="182">
      <c r="E182" s="512"/>
      <c r="G182" s="285"/>
    </row>
    <row r="183">
      <c r="E183" s="512"/>
      <c r="G183" s="285"/>
    </row>
    <row r="184">
      <c r="E184" s="512"/>
      <c r="G184" s="285"/>
    </row>
    <row r="185">
      <c r="E185" s="512"/>
      <c r="G185" s="285"/>
    </row>
    <row r="186">
      <c r="E186" s="512"/>
      <c r="G186" s="285"/>
    </row>
    <row r="187">
      <c r="E187" s="512"/>
      <c r="G187" s="285"/>
    </row>
    <row r="188">
      <c r="E188" s="512"/>
      <c r="G188" s="285"/>
    </row>
    <row r="189">
      <c r="E189" s="512"/>
      <c r="G189" s="285"/>
    </row>
    <row r="190">
      <c r="E190" s="512"/>
      <c r="G190" s="285"/>
    </row>
    <row r="191">
      <c r="E191" s="512"/>
      <c r="G191" s="285"/>
    </row>
    <row r="192">
      <c r="E192" s="512"/>
      <c r="G192" s="285"/>
    </row>
    <row r="193">
      <c r="E193" s="512"/>
      <c r="G193" s="285"/>
    </row>
    <row r="194">
      <c r="E194" s="512"/>
      <c r="G194" s="285"/>
    </row>
    <row r="195">
      <c r="E195" s="512"/>
      <c r="G195" s="285"/>
    </row>
    <row r="196">
      <c r="E196" s="512"/>
      <c r="G196" s="285"/>
    </row>
    <row r="197">
      <c r="E197" s="512"/>
      <c r="G197" s="285"/>
    </row>
    <row r="198">
      <c r="E198" s="512"/>
      <c r="G198" s="285"/>
    </row>
    <row r="199">
      <c r="E199" s="512"/>
      <c r="G199" s="285"/>
    </row>
    <row r="200">
      <c r="E200" s="512"/>
      <c r="G200" s="285"/>
    </row>
    <row r="201">
      <c r="E201" s="512"/>
      <c r="G201" s="285"/>
    </row>
    <row r="202">
      <c r="E202" s="512"/>
      <c r="G202" s="285"/>
    </row>
    <row r="203">
      <c r="E203" s="512"/>
      <c r="G203" s="285"/>
    </row>
    <row r="204">
      <c r="E204" s="512"/>
      <c r="G204" s="285"/>
    </row>
    <row r="205">
      <c r="E205" s="512"/>
      <c r="G205" s="285"/>
    </row>
    <row r="206">
      <c r="E206" s="512"/>
      <c r="G206" s="285"/>
    </row>
    <row r="207">
      <c r="E207" s="512"/>
      <c r="G207" s="285"/>
    </row>
    <row r="208">
      <c r="E208" s="512"/>
      <c r="G208" s="285"/>
    </row>
    <row r="209">
      <c r="E209" s="512"/>
      <c r="G209" s="285"/>
    </row>
    <row r="210">
      <c r="E210" s="512"/>
      <c r="G210" s="285"/>
    </row>
    <row r="211">
      <c r="E211" s="512"/>
      <c r="G211" s="285"/>
    </row>
    <row r="212">
      <c r="E212" s="512"/>
      <c r="G212" s="285"/>
    </row>
    <row r="213">
      <c r="E213" s="512"/>
      <c r="G213" s="285"/>
    </row>
    <row r="214">
      <c r="E214" s="512"/>
      <c r="G214" s="285"/>
    </row>
    <row r="215">
      <c r="E215" s="512"/>
      <c r="G215" s="285"/>
    </row>
    <row r="216">
      <c r="E216" s="512"/>
      <c r="G216" s="285"/>
    </row>
    <row r="217">
      <c r="E217" s="512"/>
      <c r="G217" s="285"/>
    </row>
    <row r="218">
      <c r="E218" s="512"/>
      <c r="G218" s="285"/>
    </row>
    <row r="219">
      <c r="E219" s="512"/>
      <c r="G219" s="285"/>
    </row>
    <row r="220">
      <c r="E220" s="512"/>
      <c r="G220" s="285"/>
    </row>
    <row r="221">
      <c r="E221" s="512"/>
      <c r="G221" s="285"/>
    </row>
    <row r="222">
      <c r="E222" s="512"/>
      <c r="G222" s="285"/>
    </row>
    <row r="223">
      <c r="E223" s="512"/>
      <c r="G223" s="285"/>
    </row>
    <row r="224">
      <c r="E224" s="512"/>
      <c r="G224" s="285"/>
    </row>
    <row r="225">
      <c r="E225" s="512"/>
      <c r="G225" s="285"/>
    </row>
    <row r="226">
      <c r="E226" s="512"/>
      <c r="G226" s="285"/>
    </row>
    <row r="227">
      <c r="E227" s="512"/>
      <c r="G227" s="285"/>
    </row>
    <row r="228">
      <c r="E228" s="512"/>
      <c r="G228" s="285"/>
    </row>
    <row r="229">
      <c r="E229" s="512"/>
      <c r="G229" s="285"/>
    </row>
    <row r="230">
      <c r="E230" s="512"/>
      <c r="G230" s="285"/>
    </row>
    <row r="231">
      <c r="E231" s="512"/>
      <c r="G231" s="285"/>
    </row>
    <row r="232">
      <c r="E232" s="512"/>
      <c r="G232" s="285"/>
    </row>
    <row r="233">
      <c r="E233" s="512"/>
      <c r="G233" s="285"/>
    </row>
    <row r="234">
      <c r="E234" s="512"/>
      <c r="G234" s="285"/>
    </row>
    <row r="235">
      <c r="E235" s="512"/>
      <c r="G235" s="285"/>
    </row>
    <row r="236">
      <c r="E236" s="512"/>
      <c r="G236" s="285"/>
    </row>
    <row r="237">
      <c r="E237" s="512"/>
      <c r="G237" s="285"/>
    </row>
    <row r="238">
      <c r="E238" s="512"/>
      <c r="G238" s="285"/>
    </row>
    <row r="239">
      <c r="E239" s="512"/>
      <c r="G239" s="285"/>
    </row>
    <row r="240">
      <c r="E240" s="512"/>
      <c r="G240" s="285"/>
    </row>
    <row r="241">
      <c r="E241" s="512"/>
      <c r="G241" s="285"/>
    </row>
    <row r="242">
      <c r="E242" s="512"/>
      <c r="G242" s="285"/>
    </row>
    <row r="243">
      <c r="E243" s="512"/>
      <c r="G243" s="285"/>
    </row>
    <row r="244">
      <c r="E244" s="512"/>
      <c r="G244" s="285"/>
    </row>
    <row r="245">
      <c r="E245" s="512"/>
      <c r="G245" s="285"/>
    </row>
    <row r="246">
      <c r="E246" s="512"/>
      <c r="G246" s="285"/>
    </row>
    <row r="247">
      <c r="E247" s="512"/>
      <c r="G247" s="285"/>
    </row>
    <row r="248">
      <c r="E248" s="512"/>
      <c r="G248" s="285"/>
    </row>
    <row r="249">
      <c r="E249" s="512"/>
      <c r="G249" s="285"/>
    </row>
    <row r="250">
      <c r="E250" s="512"/>
      <c r="G250" s="285"/>
    </row>
    <row r="251">
      <c r="E251" s="512"/>
      <c r="G251" s="285"/>
    </row>
    <row r="252">
      <c r="E252" s="512"/>
      <c r="G252" s="285"/>
    </row>
    <row r="253">
      <c r="E253" s="512"/>
      <c r="G253" s="285"/>
    </row>
    <row r="254">
      <c r="E254" s="512"/>
      <c r="G254" s="285"/>
    </row>
    <row r="255">
      <c r="E255" s="512"/>
      <c r="G255" s="285"/>
    </row>
    <row r="256">
      <c r="E256" s="512"/>
      <c r="G256" s="285"/>
    </row>
    <row r="257">
      <c r="E257" s="512"/>
      <c r="G257" s="285"/>
    </row>
    <row r="258">
      <c r="E258" s="512"/>
      <c r="G258" s="285"/>
    </row>
    <row r="259">
      <c r="E259" s="512"/>
      <c r="G259" s="285"/>
    </row>
    <row r="260">
      <c r="E260" s="512"/>
      <c r="G260" s="285"/>
    </row>
    <row r="261">
      <c r="E261" s="512"/>
      <c r="G261" s="285"/>
    </row>
    <row r="262">
      <c r="E262" s="512"/>
      <c r="G262" s="285"/>
    </row>
    <row r="263">
      <c r="E263" s="512"/>
      <c r="G263" s="285"/>
    </row>
    <row r="264">
      <c r="E264" s="512"/>
      <c r="G264" s="285"/>
    </row>
    <row r="265">
      <c r="E265" s="512"/>
      <c r="G265" s="285"/>
    </row>
    <row r="266">
      <c r="E266" s="512"/>
      <c r="G266" s="285"/>
    </row>
    <row r="267">
      <c r="E267" s="512"/>
      <c r="G267" s="285"/>
    </row>
    <row r="268">
      <c r="E268" s="512"/>
      <c r="G268" s="285"/>
    </row>
    <row r="269">
      <c r="E269" s="512"/>
      <c r="G269" s="285"/>
    </row>
    <row r="270">
      <c r="E270" s="512"/>
      <c r="G270" s="285"/>
    </row>
    <row r="271">
      <c r="E271" s="512"/>
      <c r="G271" s="285"/>
    </row>
    <row r="272">
      <c r="E272" s="512"/>
      <c r="G272" s="285"/>
    </row>
    <row r="273">
      <c r="E273" s="512"/>
      <c r="G273" s="285"/>
    </row>
    <row r="274">
      <c r="E274" s="512"/>
      <c r="G274" s="285"/>
    </row>
    <row r="275">
      <c r="E275" s="512"/>
      <c r="G275" s="285"/>
    </row>
    <row r="276">
      <c r="E276" s="512"/>
      <c r="G276" s="285"/>
    </row>
    <row r="277">
      <c r="E277" s="512"/>
      <c r="G277" s="285"/>
    </row>
    <row r="278">
      <c r="E278" s="512"/>
      <c r="G278" s="285"/>
    </row>
    <row r="279">
      <c r="E279" s="512"/>
      <c r="G279" s="285"/>
    </row>
    <row r="280">
      <c r="E280" s="512"/>
      <c r="G280" s="285"/>
    </row>
    <row r="281">
      <c r="E281" s="512"/>
      <c r="G281" s="285"/>
    </row>
    <row r="282">
      <c r="E282" s="512"/>
      <c r="G282" s="285"/>
    </row>
    <row r="283">
      <c r="E283" s="512"/>
      <c r="G283" s="285"/>
    </row>
    <row r="284">
      <c r="E284" s="512"/>
      <c r="G284" s="285"/>
    </row>
    <row r="285">
      <c r="E285" s="512"/>
      <c r="G285" s="285"/>
    </row>
    <row r="286">
      <c r="E286" s="512"/>
      <c r="G286" s="285"/>
    </row>
    <row r="287">
      <c r="E287" s="512"/>
      <c r="G287" s="285"/>
    </row>
    <row r="288">
      <c r="E288" s="512"/>
      <c r="G288" s="285"/>
    </row>
    <row r="289">
      <c r="E289" s="512"/>
      <c r="G289" s="285"/>
    </row>
    <row r="290">
      <c r="E290" s="512"/>
      <c r="G290" s="285"/>
    </row>
    <row r="291">
      <c r="E291" s="512"/>
      <c r="G291" s="285"/>
    </row>
    <row r="292">
      <c r="E292" s="512"/>
      <c r="G292" s="285"/>
    </row>
    <row r="293">
      <c r="E293" s="512"/>
      <c r="G293" s="285"/>
    </row>
    <row r="294">
      <c r="E294" s="512"/>
      <c r="G294" s="285"/>
    </row>
    <row r="295">
      <c r="E295" s="512"/>
      <c r="G295" s="285"/>
    </row>
    <row r="296">
      <c r="E296" s="512"/>
      <c r="G296" s="285"/>
    </row>
    <row r="297">
      <c r="E297" s="512"/>
      <c r="G297" s="285"/>
    </row>
    <row r="298">
      <c r="E298" s="512"/>
      <c r="G298" s="285"/>
    </row>
    <row r="299">
      <c r="E299" s="512"/>
      <c r="G299" s="285"/>
    </row>
    <row r="300">
      <c r="E300" s="512"/>
      <c r="G300" s="285"/>
    </row>
    <row r="301">
      <c r="E301" s="512"/>
      <c r="G301" s="285"/>
    </row>
    <row r="302">
      <c r="E302" s="512"/>
      <c r="G302" s="285"/>
    </row>
    <row r="303">
      <c r="E303" s="512"/>
      <c r="G303" s="285"/>
    </row>
    <row r="304">
      <c r="E304" s="512"/>
      <c r="G304" s="285"/>
    </row>
    <row r="305">
      <c r="E305" s="512"/>
      <c r="G305" s="285"/>
    </row>
    <row r="306">
      <c r="E306" s="512"/>
      <c r="G306" s="285"/>
    </row>
    <row r="307">
      <c r="E307" s="512"/>
      <c r="G307" s="285"/>
    </row>
    <row r="308">
      <c r="E308" s="512"/>
      <c r="G308" s="285"/>
    </row>
    <row r="309">
      <c r="E309" s="512"/>
      <c r="G309" s="285"/>
    </row>
    <row r="310">
      <c r="E310" s="512"/>
      <c r="G310" s="285"/>
    </row>
    <row r="311">
      <c r="E311" s="512"/>
      <c r="G311" s="285"/>
    </row>
    <row r="312">
      <c r="E312" s="512"/>
      <c r="G312" s="285"/>
    </row>
    <row r="313">
      <c r="E313" s="512"/>
      <c r="G313" s="285"/>
    </row>
    <row r="314">
      <c r="E314" s="512"/>
      <c r="G314" s="285"/>
    </row>
    <row r="315">
      <c r="E315" s="512"/>
      <c r="G315" s="285"/>
    </row>
    <row r="316">
      <c r="E316" s="512"/>
      <c r="G316" s="285"/>
    </row>
    <row r="317">
      <c r="E317" s="512"/>
      <c r="G317" s="285"/>
    </row>
    <row r="318">
      <c r="E318" s="512"/>
      <c r="G318" s="285"/>
    </row>
    <row r="319">
      <c r="E319" s="512"/>
      <c r="G319" s="285"/>
    </row>
    <row r="320">
      <c r="E320" s="512"/>
      <c r="G320" s="285"/>
    </row>
    <row r="321">
      <c r="E321" s="512"/>
      <c r="G321" s="285"/>
    </row>
    <row r="322">
      <c r="E322" s="512"/>
      <c r="G322" s="285"/>
    </row>
    <row r="323">
      <c r="E323" s="512"/>
      <c r="G323" s="285"/>
    </row>
    <row r="324">
      <c r="E324" s="512"/>
      <c r="G324" s="285"/>
    </row>
    <row r="325">
      <c r="E325" s="512"/>
      <c r="G325" s="285"/>
    </row>
    <row r="326">
      <c r="E326" s="512"/>
      <c r="G326" s="285"/>
    </row>
    <row r="327">
      <c r="E327" s="512"/>
      <c r="G327" s="285"/>
    </row>
    <row r="328">
      <c r="E328" s="512"/>
      <c r="G328" s="285"/>
    </row>
    <row r="329">
      <c r="E329" s="512"/>
      <c r="G329" s="285"/>
    </row>
    <row r="330">
      <c r="E330" s="512"/>
      <c r="G330" s="285"/>
    </row>
    <row r="331">
      <c r="E331" s="512"/>
      <c r="G331" s="285"/>
    </row>
    <row r="332">
      <c r="E332" s="512"/>
      <c r="G332" s="285"/>
    </row>
    <row r="333">
      <c r="E333" s="512"/>
      <c r="G333" s="285"/>
    </row>
    <row r="334">
      <c r="E334" s="512"/>
      <c r="G334" s="285"/>
    </row>
    <row r="335">
      <c r="E335" s="512"/>
      <c r="G335" s="285"/>
    </row>
    <row r="336">
      <c r="E336" s="512"/>
      <c r="G336" s="285"/>
    </row>
    <row r="337">
      <c r="E337" s="512"/>
      <c r="G337" s="285"/>
    </row>
    <row r="338">
      <c r="E338" s="512"/>
      <c r="G338" s="285"/>
    </row>
    <row r="339">
      <c r="E339" s="512"/>
      <c r="G339" s="285"/>
    </row>
    <row r="340">
      <c r="E340" s="512"/>
      <c r="G340" s="285"/>
    </row>
    <row r="341">
      <c r="E341" s="512"/>
      <c r="G341" s="285"/>
    </row>
    <row r="342">
      <c r="E342" s="512"/>
      <c r="G342" s="285"/>
    </row>
    <row r="343">
      <c r="E343" s="512"/>
      <c r="G343" s="285"/>
    </row>
    <row r="344">
      <c r="E344" s="512"/>
      <c r="G344" s="285"/>
    </row>
    <row r="345">
      <c r="E345" s="512"/>
      <c r="G345" s="285"/>
    </row>
    <row r="346">
      <c r="E346" s="512"/>
      <c r="G346" s="285"/>
    </row>
    <row r="347">
      <c r="E347" s="512"/>
      <c r="G347" s="285"/>
    </row>
    <row r="348">
      <c r="E348" s="512"/>
      <c r="G348" s="285"/>
    </row>
    <row r="349">
      <c r="E349" s="512"/>
      <c r="G349" s="285"/>
    </row>
    <row r="350">
      <c r="E350" s="512"/>
      <c r="G350" s="285"/>
    </row>
    <row r="351">
      <c r="E351" s="512"/>
      <c r="G351" s="285"/>
    </row>
    <row r="352">
      <c r="E352" s="512"/>
      <c r="G352" s="285"/>
    </row>
    <row r="353">
      <c r="E353" s="512"/>
      <c r="G353" s="285"/>
    </row>
    <row r="354">
      <c r="E354" s="512"/>
      <c r="G354" s="285"/>
    </row>
    <row r="355">
      <c r="E355" s="512"/>
      <c r="G355" s="285"/>
    </row>
    <row r="356">
      <c r="E356" s="512"/>
      <c r="G356" s="285"/>
    </row>
    <row r="357">
      <c r="E357" s="512"/>
      <c r="G357" s="285"/>
    </row>
    <row r="358">
      <c r="E358" s="512"/>
      <c r="G358" s="285"/>
    </row>
    <row r="359">
      <c r="E359" s="512"/>
      <c r="G359" s="285"/>
    </row>
    <row r="360">
      <c r="E360" s="512"/>
      <c r="G360" s="285"/>
    </row>
    <row r="361">
      <c r="E361" s="512"/>
      <c r="G361" s="285"/>
    </row>
    <row r="362">
      <c r="E362" s="512"/>
      <c r="G362" s="285"/>
    </row>
    <row r="363">
      <c r="E363" s="512"/>
      <c r="G363" s="285"/>
    </row>
    <row r="364">
      <c r="E364" s="512"/>
      <c r="G364" s="285"/>
    </row>
    <row r="365">
      <c r="E365" s="512"/>
      <c r="G365" s="285"/>
    </row>
    <row r="366">
      <c r="E366" s="512"/>
      <c r="G366" s="285"/>
    </row>
    <row r="367">
      <c r="E367" s="512"/>
      <c r="G367" s="285"/>
    </row>
    <row r="368">
      <c r="E368" s="512"/>
      <c r="G368" s="285"/>
    </row>
    <row r="369">
      <c r="E369" s="512"/>
      <c r="G369" s="285"/>
    </row>
    <row r="370">
      <c r="E370" s="512"/>
      <c r="G370" s="285"/>
    </row>
    <row r="371">
      <c r="E371" s="512"/>
      <c r="G371" s="285"/>
    </row>
    <row r="372">
      <c r="E372" s="512"/>
      <c r="G372" s="285"/>
    </row>
    <row r="373">
      <c r="E373" s="512"/>
      <c r="G373" s="285"/>
    </row>
    <row r="374">
      <c r="E374" s="512"/>
      <c r="G374" s="285"/>
    </row>
    <row r="375">
      <c r="E375" s="512"/>
      <c r="G375" s="285"/>
    </row>
    <row r="376">
      <c r="E376" s="512"/>
      <c r="G376" s="285"/>
    </row>
    <row r="377">
      <c r="E377" s="512"/>
      <c r="G377" s="285"/>
    </row>
    <row r="378">
      <c r="E378" s="512"/>
      <c r="G378" s="285"/>
    </row>
    <row r="379">
      <c r="E379" s="512"/>
      <c r="G379" s="285"/>
    </row>
    <row r="380">
      <c r="E380" s="512"/>
      <c r="G380" s="285"/>
    </row>
    <row r="381">
      <c r="E381" s="512"/>
      <c r="G381" s="285"/>
    </row>
    <row r="382">
      <c r="E382" s="512"/>
      <c r="G382" s="285"/>
    </row>
    <row r="383">
      <c r="E383" s="512"/>
      <c r="G383" s="285"/>
    </row>
    <row r="384">
      <c r="E384" s="512"/>
      <c r="G384" s="285"/>
    </row>
    <row r="385">
      <c r="E385" s="512"/>
      <c r="G385" s="285"/>
    </row>
    <row r="386">
      <c r="E386" s="512"/>
      <c r="G386" s="285"/>
    </row>
    <row r="387">
      <c r="E387" s="512"/>
      <c r="G387" s="285"/>
    </row>
    <row r="388">
      <c r="E388" s="512"/>
      <c r="G388" s="285"/>
    </row>
    <row r="389">
      <c r="E389" s="512"/>
      <c r="G389" s="285"/>
    </row>
    <row r="390">
      <c r="E390" s="512"/>
      <c r="G390" s="285"/>
    </row>
    <row r="391">
      <c r="E391" s="512"/>
      <c r="G391" s="285"/>
    </row>
    <row r="392">
      <c r="E392" s="512"/>
      <c r="G392" s="285"/>
    </row>
    <row r="393">
      <c r="E393" s="512"/>
      <c r="G393" s="285"/>
    </row>
    <row r="394">
      <c r="E394" s="512"/>
      <c r="G394" s="285"/>
    </row>
    <row r="395">
      <c r="E395" s="512"/>
      <c r="G395" s="285"/>
    </row>
    <row r="396">
      <c r="E396" s="512"/>
      <c r="G396" s="285"/>
    </row>
    <row r="397">
      <c r="E397" s="512"/>
      <c r="G397" s="285"/>
    </row>
    <row r="398">
      <c r="E398" s="512"/>
      <c r="G398" s="285"/>
    </row>
    <row r="399">
      <c r="E399" s="512"/>
      <c r="G399" s="285"/>
    </row>
    <row r="400">
      <c r="E400" s="512"/>
      <c r="G400" s="285"/>
    </row>
    <row r="401">
      <c r="E401" s="512"/>
      <c r="G401" s="285"/>
    </row>
    <row r="402">
      <c r="E402" s="512"/>
      <c r="G402" s="285"/>
    </row>
    <row r="403">
      <c r="E403" s="512"/>
      <c r="G403" s="285"/>
    </row>
    <row r="404">
      <c r="E404" s="512"/>
      <c r="G404" s="285"/>
    </row>
    <row r="405">
      <c r="E405" s="512"/>
      <c r="G405" s="285"/>
    </row>
    <row r="406">
      <c r="E406" s="512"/>
      <c r="G406" s="285"/>
    </row>
    <row r="407">
      <c r="E407" s="512"/>
      <c r="G407" s="285"/>
    </row>
    <row r="408">
      <c r="E408" s="512"/>
      <c r="G408" s="285"/>
    </row>
    <row r="409">
      <c r="E409" s="512"/>
      <c r="G409" s="285"/>
    </row>
    <row r="410">
      <c r="E410" s="512"/>
      <c r="G410" s="285"/>
    </row>
    <row r="411">
      <c r="E411" s="512"/>
      <c r="G411" s="285"/>
    </row>
    <row r="412">
      <c r="E412" s="512"/>
      <c r="G412" s="285"/>
    </row>
    <row r="413">
      <c r="E413" s="512"/>
      <c r="G413" s="285"/>
    </row>
    <row r="414">
      <c r="E414" s="512"/>
      <c r="G414" s="285"/>
    </row>
    <row r="415">
      <c r="E415" s="512"/>
      <c r="G415" s="285"/>
    </row>
    <row r="416">
      <c r="E416" s="512"/>
      <c r="G416" s="285"/>
    </row>
    <row r="417">
      <c r="E417" s="512"/>
      <c r="G417" s="285"/>
    </row>
    <row r="418">
      <c r="E418" s="512"/>
      <c r="G418" s="285"/>
    </row>
    <row r="419">
      <c r="E419" s="512"/>
      <c r="G419" s="285"/>
    </row>
    <row r="420">
      <c r="E420" s="512"/>
      <c r="G420" s="285"/>
    </row>
    <row r="421">
      <c r="E421" s="512"/>
      <c r="G421" s="285"/>
    </row>
    <row r="422">
      <c r="E422" s="512"/>
      <c r="G422" s="285"/>
    </row>
    <row r="423">
      <c r="E423" s="512"/>
      <c r="G423" s="285"/>
    </row>
    <row r="424">
      <c r="E424" s="512"/>
      <c r="G424" s="285"/>
    </row>
    <row r="425">
      <c r="E425" s="512"/>
      <c r="G425" s="285"/>
    </row>
    <row r="426">
      <c r="E426" s="512"/>
      <c r="G426" s="285"/>
    </row>
    <row r="427">
      <c r="E427" s="512"/>
      <c r="G427" s="285"/>
    </row>
    <row r="428">
      <c r="E428" s="512"/>
      <c r="G428" s="285"/>
    </row>
    <row r="429">
      <c r="E429" s="512"/>
      <c r="G429" s="285"/>
    </row>
    <row r="430">
      <c r="E430" s="512"/>
      <c r="G430" s="285"/>
    </row>
    <row r="431">
      <c r="E431" s="512"/>
      <c r="G431" s="285"/>
    </row>
    <row r="432">
      <c r="E432" s="512"/>
      <c r="G432" s="285"/>
    </row>
    <row r="433">
      <c r="E433" s="512"/>
      <c r="G433" s="285"/>
    </row>
    <row r="434">
      <c r="E434" s="512"/>
      <c r="G434" s="285"/>
    </row>
    <row r="435">
      <c r="E435" s="512"/>
      <c r="G435" s="285"/>
    </row>
    <row r="436">
      <c r="E436" s="512"/>
      <c r="G436" s="285"/>
    </row>
    <row r="437">
      <c r="E437" s="512"/>
      <c r="G437" s="285"/>
    </row>
    <row r="438">
      <c r="E438" s="512"/>
      <c r="G438" s="285"/>
    </row>
    <row r="439">
      <c r="E439" s="512"/>
      <c r="G439" s="285"/>
    </row>
    <row r="440">
      <c r="E440" s="512"/>
      <c r="G440" s="285"/>
    </row>
    <row r="441">
      <c r="E441" s="512"/>
      <c r="G441" s="285"/>
    </row>
    <row r="442">
      <c r="E442" s="512"/>
      <c r="G442" s="285"/>
    </row>
    <row r="443">
      <c r="E443" s="512"/>
      <c r="G443" s="285"/>
    </row>
    <row r="444">
      <c r="E444" s="512"/>
      <c r="G444" s="285"/>
    </row>
    <row r="445">
      <c r="E445" s="512"/>
      <c r="G445" s="285"/>
    </row>
    <row r="446">
      <c r="E446" s="512"/>
      <c r="G446" s="285"/>
    </row>
    <row r="447">
      <c r="E447" s="512"/>
      <c r="G447" s="285"/>
    </row>
    <row r="448">
      <c r="E448" s="512"/>
      <c r="G448" s="285"/>
    </row>
    <row r="449">
      <c r="E449" s="512"/>
      <c r="G449" s="285"/>
    </row>
    <row r="450">
      <c r="E450" s="512"/>
      <c r="G450" s="285"/>
    </row>
    <row r="451">
      <c r="E451" s="512"/>
      <c r="G451" s="285"/>
    </row>
    <row r="452">
      <c r="E452" s="512"/>
      <c r="G452" s="285"/>
    </row>
    <row r="453">
      <c r="E453" s="512"/>
      <c r="G453" s="285"/>
    </row>
    <row r="454">
      <c r="E454" s="512"/>
      <c r="G454" s="285"/>
    </row>
    <row r="455">
      <c r="E455" s="512"/>
      <c r="G455" s="285"/>
    </row>
    <row r="456">
      <c r="E456" s="512"/>
      <c r="G456" s="285"/>
    </row>
    <row r="457">
      <c r="E457" s="512"/>
      <c r="G457" s="285"/>
    </row>
    <row r="458">
      <c r="E458" s="512"/>
      <c r="G458" s="285"/>
    </row>
    <row r="459">
      <c r="E459" s="512"/>
      <c r="G459" s="285"/>
    </row>
    <row r="460">
      <c r="E460" s="512"/>
      <c r="G460" s="285"/>
    </row>
    <row r="461">
      <c r="E461" s="512"/>
      <c r="G461" s="285"/>
    </row>
    <row r="462">
      <c r="E462" s="512"/>
      <c r="G462" s="285"/>
    </row>
    <row r="463">
      <c r="E463" s="512"/>
      <c r="G463" s="285"/>
    </row>
    <row r="464">
      <c r="E464" s="512"/>
      <c r="G464" s="285"/>
    </row>
    <row r="465">
      <c r="E465" s="512"/>
      <c r="G465" s="285"/>
    </row>
    <row r="466">
      <c r="E466" s="512"/>
      <c r="G466" s="285"/>
    </row>
    <row r="467">
      <c r="E467" s="512"/>
      <c r="G467" s="285"/>
    </row>
    <row r="468">
      <c r="E468" s="512"/>
      <c r="G468" s="285"/>
    </row>
    <row r="469">
      <c r="E469" s="512"/>
      <c r="G469" s="285"/>
    </row>
    <row r="470">
      <c r="E470" s="512"/>
      <c r="G470" s="285"/>
    </row>
    <row r="471">
      <c r="E471" s="512"/>
      <c r="G471" s="285"/>
    </row>
    <row r="472">
      <c r="E472" s="512"/>
      <c r="G472" s="285"/>
    </row>
    <row r="473">
      <c r="E473" s="512"/>
      <c r="G473" s="285"/>
    </row>
    <row r="474">
      <c r="E474" s="512"/>
      <c r="G474" s="285"/>
    </row>
    <row r="475">
      <c r="E475" s="512"/>
      <c r="G475" s="285"/>
    </row>
    <row r="476">
      <c r="E476" s="512"/>
      <c r="G476" s="285"/>
    </row>
    <row r="477">
      <c r="E477" s="512"/>
      <c r="G477" s="285"/>
    </row>
    <row r="478">
      <c r="E478" s="512"/>
      <c r="G478" s="285"/>
    </row>
    <row r="479">
      <c r="E479" s="512"/>
      <c r="G479" s="285"/>
    </row>
    <row r="480">
      <c r="E480" s="512"/>
      <c r="G480" s="285"/>
    </row>
    <row r="481">
      <c r="E481" s="512"/>
      <c r="G481" s="285"/>
    </row>
    <row r="482">
      <c r="E482" s="512"/>
      <c r="G482" s="285"/>
    </row>
    <row r="483">
      <c r="E483" s="512"/>
      <c r="G483" s="285"/>
    </row>
    <row r="484">
      <c r="E484" s="512"/>
      <c r="G484" s="285"/>
    </row>
    <row r="485">
      <c r="E485" s="512"/>
      <c r="G485" s="285"/>
    </row>
    <row r="486">
      <c r="E486" s="512"/>
      <c r="G486" s="285"/>
    </row>
    <row r="487">
      <c r="E487" s="512"/>
      <c r="G487" s="285"/>
    </row>
    <row r="488">
      <c r="E488" s="512"/>
      <c r="G488" s="285"/>
    </row>
    <row r="489">
      <c r="E489" s="512"/>
      <c r="G489" s="285"/>
    </row>
    <row r="490">
      <c r="E490" s="512"/>
      <c r="G490" s="285"/>
    </row>
    <row r="491">
      <c r="E491" s="512"/>
      <c r="G491" s="285"/>
    </row>
    <row r="492">
      <c r="E492" s="512"/>
      <c r="G492" s="285"/>
    </row>
    <row r="493">
      <c r="E493" s="512"/>
      <c r="G493" s="285"/>
    </row>
    <row r="494">
      <c r="E494" s="512"/>
      <c r="G494" s="285"/>
    </row>
    <row r="495">
      <c r="E495" s="512"/>
      <c r="G495" s="285"/>
    </row>
    <row r="496">
      <c r="E496" s="512"/>
      <c r="G496" s="285"/>
    </row>
    <row r="497">
      <c r="E497" s="512"/>
      <c r="G497" s="285"/>
    </row>
    <row r="498">
      <c r="E498" s="512"/>
      <c r="G498" s="285"/>
    </row>
    <row r="499">
      <c r="E499" s="512"/>
      <c r="G499" s="285"/>
    </row>
    <row r="500">
      <c r="E500" s="512"/>
      <c r="G500" s="285"/>
    </row>
    <row r="501">
      <c r="E501" s="512"/>
      <c r="G501" s="285"/>
    </row>
    <row r="502">
      <c r="E502" s="512"/>
      <c r="G502" s="285"/>
    </row>
    <row r="503">
      <c r="E503" s="512"/>
      <c r="G503" s="285"/>
    </row>
    <row r="504">
      <c r="E504" s="512"/>
      <c r="G504" s="285"/>
    </row>
    <row r="505">
      <c r="E505" s="512"/>
      <c r="G505" s="285"/>
    </row>
    <row r="506">
      <c r="E506" s="512"/>
      <c r="G506" s="285"/>
    </row>
    <row r="507">
      <c r="E507" s="512"/>
      <c r="G507" s="285"/>
    </row>
    <row r="508">
      <c r="E508" s="512"/>
      <c r="G508" s="285"/>
    </row>
    <row r="509">
      <c r="E509" s="512"/>
      <c r="G509" s="285"/>
    </row>
    <row r="510">
      <c r="E510" s="512"/>
      <c r="G510" s="285"/>
    </row>
    <row r="511">
      <c r="E511" s="512"/>
      <c r="G511" s="285"/>
    </row>
    <row r="512">
      <c r="E512" s="512"/>
      <c r="G512" s="285"/>
    </row>
    <row r="513">
      <c r="E513" s="512"/>
      <c r="G513" s="285"/>
    </row>
    <row r="514">
      <c r="E514" s="512"/>
      <c r="G514" s="285"/>
    </row>
    <row r="515">
      <c r="E515" s="512"/>
      <c r="G515" s="285"/>
    </row>
    <row r="516">
      <c r="E516" s="512"/>
      <c r="G516" s="285"/>
    </row>
    <row r="517">
      <c r="E517" s="512"/>
      <c r="G517" s="285"/>
    </row>
    <row r="518">
      <c r="E518" s="512"/>
      <c r="G518" s="285"/>
    </row>
    <row r="519">
      <c r="E519" s="512"/>
      <c r="G519" s="285"/>
    </row>
    <row r="520">
      <c r="E520" s="512"/>
      <c r="G520" s="285"/>
    </row>
    <row r="521">
      <c r="E521" s="512"/>
      <c r="G521" s="285"/>
    </row>
    <row r="522">
      <c r="E522" s="512"/>
      <c r="G522" s="285"/>
    </row>
    <row r="523">
      <c r="E523" s="512"/>
      <c r="G523" s="285"/>
    </row>
    <row r="524">
      <c r="E524" s="512"/>
      <c r="G524" s="285"/>
    </row>
    <row r="525">
      <c r="E525" s="512"/>
      <c r="G525" s="285"/>
    </row>
    <row r="526">
      <c r="E526" s="512"/>
      <c r="G526" s="285"/>
    </row>
    <row r="527">
      <c r="E527" s="512"/>
      <c r="G527" s="285"/>
    </row>
    <row r="528">
      <c r="E528" s="512"/>
      <c r="G528" s="285"/>
    </row>
    <row r="529">
      <c r="E529" s="512"/>
      <c r="G529" s="285"/>
    </row>
    <row r="530">
      <c r="E530" s="512"/>
      <c r="G530" s="285"/>
    </row>
    <row r="531">
      <c r="E531" s="512"/>
      <c r="G531" s="285"/>
    </row>
    <row r="532">
      <c r="E532" s="512"/>
      <c r="G532" s="285"/>
    </row>
    <row r="533">
      <c r="E533" s="512"/>
      <c r="G533" s="285"/>
    </row>
    <row r="534">
      <c r="E534" s="512"/>
      <c r="G534" s="285"/>
    </row>
    <row r="535">
      <c r="E535" s="512"/>
      <c r="G535" s="285"/>
    </row>
    <row r="536">
      <c r="E536" s="512"/>
      <c r="G536" s="285"/>
    </row>
    <row r="537">
      <c r="E537" s="512"/>
      <c r="G537" s="285"/>
    </row>
    <row r="538">
      <c r="E538" s="512"/>
      <c r="G538" s="285"/>
    </row>
    <row r="539">
      <c r="E539" s="512"/>
      <c r="G539" s="285"/>
    </row>
    <row r="540">
      <c r="E540" s="512"/>
      <c r="G540" s="285"/>
    </row>
    <row r="541">
      <c r="E541" s="512"/>
      <c r="G541" s="285"/>
    </row>
    <row r="542">
      <c r="E542" s="512"/>
      <c r="G542" s="285"/>
    </row>
    <row r="543">
      <c r="E543" s="512"/>
      <c r="G543" s="285"/>
    </row>
    <row r="544">
      <c r="E544" s="512"/>
      <c r="G544" s="285"/>
    </row>
    <row r="545">
      <c r="E545" s="512"/>
      <c r="G545" s="285"/>
    </row>
    <row r="546">
      <c r="E546" s="512"/>
      <c r="G546" s="285"/>
    </row>
    <row r="547">
      <c r="E547" s="512"/>
      <c r="G547" s="285"/>
    </row>
    <row r="548">
      <c r="E548" s="512"/>
      <c r="G548" s="285"/>
    </row>
    <row r="549">
      <c r="E549" s="512"/>
      <c r="G549" s="285"/>
    </row>
    <row r="550">
      <c r="E550" s="512"/>
      <c r="G550" s="285"/>
    </row>
    <row r="551">
      <c r="E551" s="512"/>
      <c r="G551" s="285"/>
    </row>
    <row r="552">
      <c r="E552" s="512"/>
      <c r="G552" s="285"/>
    </row>
    <row r="553">
      <c r="E553" s="512"/>
      <c r="G553" s="285"/>
    </row>
    <row r="554">
      <c r="E554" s="512"/>
      <c r="G554" s="285"/>
    </row>
    <row r="555">
      <c r="E555" s="512"/>
      <c r="G555" s="285"/>
    </row>
    <row r="556">
      <c r="E556" s="512"/>
      <c r="G556" s="285"/>
    </row>
    <row r="557">
      <c r="E557" s="512"/>
      <c r="G557" s="285"/>
    </row>
    <row r="558">
      <c r="E558" s="512"/>
      <c r="G558" s="285"/>
    </row>
    <row r="559">
      <c r="E559" s="512"/>
      <c r="G559" s="285"/>
    </row>
    <row r="560">
      <c r="E560" s="512"/>
      <c r="G560" s="285"/>
    </row>
    <row r="561">
      <c r="E561" s="512"/>
      <c r="G561" s="285"/>
    </row>
    <row r="562">
      <c r="E562" s="512"/>
      <c r="G562" s="285"/>
    </row>
    <row r="563">
      <c r="E563" s="512"/>
      <c r="G563" s="285"/>
    </row>
    <row r="564">
      <c r="E564" s="512"/>
      <c r="G564" s="285"/>
    </row>
    <row r="565">
      <c r="E565" s="512"/>
      <c r="G565" s="285"/>
    </row>
    <row r="566">
      <c r="E566" s="512"/>
      <c r="G566" s="285"/>
    </row>
    <row r="567">
      <c r="E567" s="512"/>
      <c r="G567" s="285"/>
    </row>
    <row r="568">
      <c r="E568" s="512"/>
      <c r="G568" s="285"/>
    </row>
    <row r="569">
      <c r="E569" s="512"/>
      <c r="G569" s="285"/>
    </row>
    <row r="570">
      <c r="E570" s="512"/>
      <c r="G570" s="285"/>
    </row>
    <row r="571">
      <c r="E571" s="512"/>
      <c r="G571" s="285"/>
    </row>
    <row r="572">
      <c r="E572" s="512"/>
      <c r="G572" s="285"/>
    </row>
    <row r="573">
      <c r="E573" s="512"/>
      <c r="G573" s="285"/>
    </row>
    <row r="574">
      <c r="E574" s="512"/>
      <c r="G574" s="285"/>
    </row>
    <row r="575">
      <c r="E575" s="512"/>
      <c r="G575" s="285"/>
    </row>
    <row r="576">
      <c r="E576" s="512"/>
      <c r="G576" s="285"/>
    </row>
    <row r="577">
      <c r="E577" s="512"/>
      <c r="G577" s="285"/>
    </row>
    <row r="578">
      <c r="E578" s="512"/>
      <c r="G578" s="285"/>
    </row>
    <row r="579">
      <c r="E579" s="512"/>
      <c r="G579" s="285"/>
    </row>
    <row r="580">
      <c r="E580" s="512"/>
      <c r="G580" s="285"/>
    </row>
    <row r="581">
      <c r="E581" s="512"/>
      <c r="G581" s="285"/>
    </row>
    <row r="582">
      <c r="E582" s="512"/>
      <c r="G582" s="285"/>
    </row>
    <row r="583">
      <c r="E583" s="512"/>
      <c r="G583" s="285"/>
    </row>
    <row r="584">
      <c r="E584" s="512"/>
      <c r="G584" s="285"/>
    </row>
    <row r="585">
      <c r="E585" s="512"/>
      <c r="G585" s="285"/>
    </row>
    <row r="586">
      <c r="E586" s="512"/>
      <c r="G586" s="285"/>
    </row>
    <row r="587">
      <c r="E587" s="512"/>
      <c r="G587" s="285"/>
    </row>
    <row r="588">
      <c r="E588" s="512"/>
      <c r="G588" s="285"/>
    </row>
    <row r="589">
      <c r="E589" s="512"/>
      <c r="G589" s="285"/>
    </row>
    <row r="590">
      <c r="E590" s="512"/>
      <c r="G590" s="285"/>
    </row>
    <row r="591">
      <c r="E591" s="512"/>
      <c r="G591" s="285"/>
    </row>
    <row r="592">
      <c r="E592" s="512"/>
      <c r="G592" s="285"/>
    </row>
    <row r="593">
      <c r="E593" s="512"/>
      <c r="G593" s="285"/>
    </row>
    <row r="594">
      <c r="E594" s="512"/>
      <c r="G594" s="285"/>
    </row>
    <row r="595">
      <c r="E595" s="512"/>
      <c r="G595" s="285"/>
    </row>
    <row r="596">
      <c r="E596" s="512"/>
      <c r="G596" s="285"/>
    </row>
    <row r="597">
      <c r="E597" s="512"/>
      <c r="G597" s="285"/>
    </row>
    <row r="598">
      <c r="E598" s="512"/>
      <c r="G598" s="285"/>
    </row>
    <row r="599">
      <c r="E599" s="512"/>
      <c r="G599" s="285"/>
    </row>
    <row r="600">
      <c r="E600" s="512"/>
      <c r="G600" s="285"/>
    </row>
    <row r="601">
      <c r="E601" s="512"/>
      <c r="G601" s="285"/>
    </row>
    <row r="602">
      <c r="E602" s="512"/>
      <c r="G602" s="285"/>
    </row>
    <row r="603">
      <c r="E603" s="512"/>
      <c r="G603" s="285"/>
    </row>
    <row r="604">
      <c r="E604" s="512"/>
      <c r="G604" s="285"/>
    </row>
    <row r="605">
      <c r="E605" s="512"/>
      <c r="G605" s="285"/>
    </row>
    <row r="606">
      <c r="E606" s="512"/>
      <c r="G606" s="285"/>
    </row>
    <row r="607">
      <c r="E607" s="512"/>
      <c r="G607" s="285"/>
    </row>
    <row r="608">
      <c r="E608" s="512"/>
      <c r="G608" s="285"/>
    </row>
    <row r="609">
      <c r="E609" s="512"/>
      <c r="G609" s="285"/>
    </row>
    <row r="610">
      <c r="E610" s="512"/>
      <c r="G610" s="285"/>
    </row>
    <row r="611">
      <c r="E611" s="512"/>
      <c r="G611" s="285"/>
    </row>
    <row r="612">
      <c r="E612" s="512"/>
      <c r="G612" s="285"/>
    </row>
    <row r="613">
      <c r="E613" s="512"/>
      <c r="G613" s="285"/>
    </row>
    <row r="614">
      <c r="E614" s="512"/>
      <c r="G614" s="285"/>
    </row>
    <row r="615">
      <c r="E615" s="512"/>
      <c r="G615" s="285"/>
    </row>
    <row r="616">
      <c r="E616" s="512"/>
      <c r="G616" s="285"/>
    </row>
    <row r="617">
      <c r="E617" s="512"/>
      <c r="G617" s="285"/>
    </row>
    <row r="618">
      <c r="E618" s="512"/>
      <c r="G618" s="285"/>
    </row>
    <row r="619">
      <c r="E619" s="512"/>
      <c r="G619" s="285"/>
    </row>
    <row r="620">
      <c r="E620" s="512"/>
      <c r="G620" s="285"/>
    </row>
    <row r="621">
      <c r="E621" s="512"/>
      <c r="G621" s="285"/>
    </row>
    <row r="622">
      <c r="E622" s="512"/>
      <c r="G622" s="285"/>
    </row>
    <row r="623">
      <c r="E623" s="512"/>
      <c r="G623" s="285"/>
    </row>
    <row r="624">
      <c r="E624" s="512"/>
      <c r="G624" s="285"/>
    </row>
    <row r="625">
      <c r="E625" s="512"/>
      <c r="G625" s="285"/>
    </row>
    <row r="626">
      <c r="E626" s="512"/>
      <c r="G626" s="285"/>
    </row>
    <row r="627">
      <c r="E627" s="512"/>
      <c r="G627" s="285"/>
    </row>
    <row r="628">
      <c r="E628" s="512"/>
      <c r="G628" s="285"/>
    </row>
    <row r="629">
      <c r="E629" s="512"/>
      <c r="G629" s="285"/>
    </row>
    <row r="630">
      <c r="E630" s="512"/>
      <c r="G630" s="285"/>
    </row>
    <row r="631">
      <c r="E631" s="512"/>
      <c r="G631" s="285"/>
    </row>
    <row r="632">
      <c r="E632" s="512"/>
      <c r="G632" s="285"/>
    </row>
    <row r="633">
      <c r="E633" s="512"/>
      <c r="G633" s="285"/>
    </row>
    <row r="634">
      <c r="E634" s="512"/>
      <c r="G634" s="285"/>
    </row>
    <row r="635">
      <c r="E635" s="512"/>
      <c r="G635" s="285"/>
    </row>
    <row r="636">
      <c r="E636" s="512"/>
      <c r="G636" s="285"/>
    </row>
    <row r="637">
      <c r="E637" s="512"/>
      <c r="G637" s="285"/>
    </row>
    <row r="638">
      <c r="E638" s="512"/>
      <c r="G638" s="285"/>
    </row>
    <row r="639">
      <c r="E639" s="512"/>
      <c r="G639" s="285"/>
    </row>
    <row r="640">
      <c r="E640" s="512"/>
      <c r="G640" s="285"/>
    </row>
    <row r="641">
      <c r="E641" s="512"/>
      <c r="G641" s="285"/>
    </row>
    <row r="642">
      <c r="E642" s="512"/>
      <c r="G642" s="285"/>
    </row>
    <row r="643">
      <c r="E643" s="512"/>
      <c r="G643" s="285"/>
    </row>
    <row r="644">
      <c r="E644" s="512"/>
      <c r="G644" s="285"/>
    </row>
    <row r="645">
      <c r="E645" s="512"/>
      <c r="G645" s="285"/>
    </row>
    <row r="646">
      <c r="E646" s="512"/>
      <c r="G646" s="285"/>
    </row>
    <row r="647">
      <c r="E647" s="512"/>
      <c r="G647" s="285"/>
    </row>
    <row r="648">
      <c r="E648" s="512"/>
      <c r="G648" s="285"/>
    </row>
    <row r="649">
      <c r="E649" s="512"/>
      <c r="G649" s="285"/>
    </row>
    <row r="650">
      <c r="E650" s="512"/>
      <c r="G650" s="285"/>
    </row>
    <row r="651">
      <c r="E651" s="512"/>
      <c r="G651" s="285"/>
    </row>
    <row r="652">
      <c r="E652" s="512"/>
      <c r="G652" s="285"/>
    </row>
    <row r="653">
      <c r="E653" s="512"/>
      <c r="G653" s="285"/>
    </row>
    <row r="654">
      <c r="E654" s="512"/>
      <c r="G654" s="285"/>
    </row>
    <row r="655">
      <c r="E655" s="512"/>
      <c r="G655" s="285"/>
    </row>
    <row r="656">
      <c r="E656" s="512"/>
      <c r="G656" s="285"/>
    </row>
    <row r="657">
      <c r="E657" s="512"/>
      <c r="G657" s="285"/>
    </row>
    <row r="658">
      <c r="E658" s="512"/>
      <c r="G658" s="285"/>
    </row>
    <row r="659">
      <c r="E659" s="512"/>
      <c r="G659" s="285"/>
    </row>
    <row r="660">
      <c r="E660" s="512"/>
      <c r="G660" s="285"/>
    </row>
    <row r="661">
      <c r="E661" s="512"/>
      <c r="G661" s="285"/>
    </row>
    <row r="662">
      <c r="E662" s="512"/>
      <c r="G662" s="285"/>
    </row>
    <row r="663">
      <c r="E663" s="512"/>
      <c r="G663" s="285"/>
    </row>
    <row r="664">
      <c r="E664" s="512"/>
      <c r="G664" s="285"/>
    </row>
    <row r="665">
      <c r="E665" s="512"/>
      <c r="G665" s="285"/>
    </row>
    <row r="666">
      <c r="E666" s="512"/>
      <c r="G666" s="285"/>
    </row>
    <row r="667">
      <c r="E667" s="512"/>
      <c r="G667" s="285"/>
    </row>
    <row r="668">
      <c r="E668" s="512"/>
      <c r="G668" s="285"/>
    </row>
    <row r="669">
      <c r="E669" s="512"/>
      <c r="G669" s="285"/>
    </row>
    <row r="670">
      <c r="E670" s="512"/>
      <c r="G670" s="285"/>
    </row>
    <row r="671">
      <c r="E671" s="512"/>
      <c r="G671" s="285"/>
    </row>
    <row r="672">
      <c r="E672" s="512"/>
      <c r="G672" s="285"/>
    </row>
    <row r="673">
      <c r="E673" s="512"/>
      <c r="G673" s="285"/>
    </row>
    <row r="674">
      <c r="E674" s="512"/>
      <c r="G674" s="285"/>
    </row>
    <row r="675">
      <c r="E675" s="512"/>
      <c r="G675" s="285"/>
    </row>
    <row r="676">
      <c r="E676" s="512"/>
      <c r="G676" s="285"/>
    </row>
    <row r="677">
      <c r="E677" s="512"/>
      <c r="G677" s="285"/>
    </row>
    <row r="678">
      <c r="E678" s="512"/>
      <c r="G678" s="285"/>
    </row>
    <row r="679">
      <c r="E679" s="512"/>
      <c r="G679" s="285"/>
    </row>
    <row r="680">
      <c r="E680" s="512"/>
      <c r="G680" s="285"/>
    </row>
    <row r="681">
      <c r="E681" s="512"/>
      <c r="G681" s="285"/>
    </row>
    <row r="682">
      <c r="E682" s="512"/>
      <c r="G682" s="285"/>
    </row>
    <row r="683">
      <c r="E683" s="512"/>
      <c r="G683" s="285"/>
    </row>
    <row r="684">
      <c r="E684" s="512"/>
      <c r="G684" s="285"/>
    </row>
    <row r="685">
      <c r="E685" s="512"/>
      <c r="G685" s="285"/>
    </row>
    <row r="686">
      <c r="E686" s="512"/>
      <c r="G686" s="285"/>
    </row>
    <row r="687">
      <c r="E687" s="512"/>
      <c r="G687" s="285"/>
    </row>
    <row r="688">
      <c r="E688" s="512"/>
      <c r="G688" s="285"/>
    </row>
    <row r="689">
      <c r="E689" s="512"/>
      <c r="G689" s="285"/>
    </row>
    <row r="690">
      <c r="E690" s="512"/>
      <c r="G690" s="285"/>
    </row>
    <row r="691">
      <c r="E691" s="512"/>
      <c r="G691" s="285"/>
    </row>
    <row r="692">
      <c r="E692" s="512"/>
      <c r="G692" s="285"/>
    </row>
    <row r="693">
      <c r="E693" s="512"/>
      <c r="G693" s="285"/>
    </row>
    <row r="694">
      <c r="E694" s="512"/>
      <c r="G694" s="285"/>
    </row>
    <row r="695">
      <c r="E695" s="512"/>
      <c r="G695" s="285"/>
    </row>
    <row r="696">
      <c r="E696" s="512"/>
      <c r="G696" s="285"/>
    </row>
    <row r="697">
      <c r="E697" s="512"/>
      <c r="G697" s="285"/>
    </row>
    <row r="698">
      <c r="E698" s="512"/>
      <c r="G698" s="285"/>
    </row>
    <row r="699">
      <c r="E699" s="512"/>
      <c r="G699" s="285"/>
    </row>
    <row r="700">
      <c r="E700" s="512"/>
      <c r="G700" s="285"/>
    </row>
    <row r="701">
      <c r="E701" s="512"/>
      <c r="G701" s="285"/>
    </row>
    <row r="702">
      <c r="E702" s="512"/>
      <c r="G702" s="285"/>
    </row>
    <row r="703">
      <c r="E703" s="512"/>
      <c r="G703" s="285"/>
    </row>
    <row r="704">
      <c r="E704" s="512"/>
      <c r="G704" s="285"/>
    </row>
    <row r="705">
      <c r="E705" s="512"/>
      <c r="G705" s="285"/>
    </row>
    <row r="706">
      <c r="E706" s="512"/>
      <c r="G706" s="285"/>
    </row>
    <row r="707">
      <c r="E707" s="512"/>
      <c r="G707" s="285"/>
    </row>
    <row r="708">
      <c r="E708" s="512"/>
      <c r="G708" s="285"/>
    </row>
    <row r="709">
      <c r="E709" s="512"/>
      <c r="G709" s="285"/>
    </row>
    <row r="710">
      <c r="E710" s="512"/>
      <c r="G710" s="285"/>
    </row>
    <row r="711">
      <c r="E711" s="512"/>
      <c r="G711" s="285"/>
    </row>
    <row r="712">
      <c r="E712" s="512"/>
      <c r="G712" s="285"/>
    </row>
    <row r="713">
      <c r="E713" s="512"/>
      <c r="G713" s="285"/>
    </row>
    <row r="714">
      <c r="E714" s="512"/>
      <c r="G714" s="285"/>
    </row>
    <row r="715">
      <c r="E715" s="512"/>
      <c r="G715" s="285"/>
    </row>
    <row r="716">
      <c r="E716" s="512"/>
      <c r="G716" s="285"/>
    </row>
    <row r="717">
      <c r="E717" s="512"/>
      <c r="G717" s="285"/>
    </row>
    <row r="718">
      <c r="E718" s="512"/>
      <c r="G718" s="285"/>
    </row>
    <row r="719">
      <c r="E719" s="512"/>
      <c r="G719" s="285"/>
    </row>
    <row r="720">
      <c r="E720" s="512"/>
      <c r="G720" s="285"/>
    </row>
    <row r="721">
      <c r="E721" s="512"/>
      <c r="G721" s="285"/>
    </row>
    <row r="722">
      <c r="E722" s="512"/>
      <c r="G722" s="285"/>
    </row>
    <row r="723">
      <c r="E723" s="512"/>
      <c r="G723" s="285"/>
    </row>
    <row r="724">
      <c r="E724" s="512"/>
      <c r="G724" s="285"/>
    </row>
    <row r="725">
      <c r="E725" s="512"/>
      <c r="G725" s="285"/>
    </row>
    <row r="726">
      <c r="E726" s="512"/>
      <c r="G726" s="285"/>
    </row>
    <row r="727">
      <c r="E727" s="512"/>
      <c r="G727" s="285"/>
    </row>
    <row r="728">
      <c r="E728" s="512"/>
      <c r="G728" s="285"/>
    </row>
    <row r="729">
      <c r="E729" s="512"/>
      <c r="G729" s="285"/>
    </row>
    <row r="730">
      <c r="E730" s="512"/>
      <c r="G730" s="285"/>
    </row>
    <row r="731">
      <c r="E731" s="512"/>
      <c r="G731" s="285"/>
    </row>
    <row r="732">
      <c r="E732" s="512"/>
      <c r="G732" s="285"/>
    </row>
    <row r="733">
      <c r="E733" s="512"/>
      <c r="G733" s="285"/>
    </row>
    <row r="734">
      <c r="E734" s="512"/>
      <c r="G734" s="285"/>
    </row>
    <row r="735">
      <c r="E735" s="512"/>
      <c r="G735" s="285"/>
    </row>
    <row r="736">
      <c r="E736" s="512"/>
      <c r="G736" s="285"/>
    </row>
    <row r="737">
      <c r="E737" s="512"/>
      <c r="G737" s="285"/>
    </row>
    <row r="738">
      <c r="E738" s="512"/>
      <c r="G738" s="285"/>
    </row>
    <row r="739">
      <c r="E739" s="512"/>
      <c r="G739" s="285"/>
    </row>
    <row r="740">
      <c r="E740" s="512"/>
      <c r="G740" s="285"/>
    </row>
    <row r="741">
      <c r="E741" s="512"/>
      <c r="G741" s="285"/>
    </row>
    <row r="742">
      <c r="E742" s="512"/>
      <c r="G742" s="285"/>
    </row>
    <row r="743">
      <c r="E743" s="512"/>
      <c r="G743" s="285"/>
    </row>
    <row r="744">
      <c r="E744" s="512"/>
      <c r="G744" s="285"/>
    </row>
    <row r="745">
      <c r="E745" s="512"/>
      <c r="G745" s="285"/>
    </row>
    <row r="746">
      <c r="E746" s="512"/>
      <c r="G746" s="285"/>
    </row>
    <row r="747">
      <c r="E747" s="512"/>
      <c r="G747" s="285"/>
    </row>
    <row r="748">
      <c r="E748" s="512"/>
      <c r="G748" s="285"/>
    </row>
    <row r="749">
      <c r="E749" s="512"/>
      <c r="G749" s="285"/>
    </row>
    <row r="750">
      <c r="E750" s="512"/>
      <c r="G750" s="285"/>
    </row>
    <row r="751">
      <c r="E751" s="512"/>
      <c r="G751" s="285"/>
    </row>
    <row r="752">
      <c r="E752" s="512"/>
      <c r="G752" s="285"/>
    </row>
    <row r="753">
      <c r="E753" s="512"/>
      <c r="G753" s="285"/>
    </row>
    <row r="754">
      <c r="E754" s="512"/>
      <c r="G754" s="285"/>
    </row>
    <row r="755">
      <c r="E755" s="512"/>
      <c r="G755" s="285"/>
    </row>
    <row r="756">
      <c r="E756" s="512"/>
      <c r="G756" s="285"/>
    </row>
    <row r="757">
      <c r="E757" s="512"/>
      <c r="G757" s="285"/>
    </row>
    <row r="758">
      <c r="E758" s="512"/>
      <c r="G758" s="285"/>
    </row>
    <row r="759">
      <c r="E759" s="512"/>
      <c r="G759" s="285"/>
    </row>
    <row r="760">
      <c r="E760" s="512"/>
      <c r="G760" s="285"/>
    </row>
    <row r="761">
      <c r="E761" s="512"/>
      <c r="G761" s="285"/>
    </row>
    <row r="762">
      <c r="E762" s="512"/>
      <c r="G762" s="285"/>
    </row>
    <row r="763">
      <c r="E763" s="512"/>
      <c r="G763" s="285"/>
    </row>
    <row r="764">
      <c r="E764" s="512"/>
      <c r="G764" s="285"/>
    </row>
    <row r="765">
      <c r="E765" s="512"/>
      <c r="G765" s="285"/>
    </row>
    <row r="766">
      <c r="E766" s="512"/>
      <c r="G766" s="285"/>
    </row>
    <row r="767">
      <c r="E767" s="512"/>
      <c r="G767" s="285"/>
    </row>
    <row r="768">
      <c r="E768" s="512"/>
      <c r="G768" s="285"/>
    </row>
    <row r="769">
      <c r="E769" s="512"/>
      <c r="G769" s="285"/>
    </row>
    <row r="770">
      <c r="E770" s="512"/>
      <c r="G770" s="285"/>
    </row>
    <row r="771">
      <c r="E771" s="512"/>
      <c r="G771" s="285"/>
    </row>
    <row r="772">
      <c r="E772" s="512"/>
      <c r="G772" s="285"/>
    </row>
    <row r="773">
      <c r="E773" s="512"/>
      <c r="G773" s="285"/>
    </row>
    <row r="774">
      <c r="E774" s="512"/>
      <c r="G774" s="285"/>
    </row>
    <row r="775">
      <c r="E775" s="512"/>
      <c r="G775" s="285"/>
    </row>
    <row r="776">
      <c r="E776" s="512"/>
      <c r="G776" s="285"/>
    </row>
    <row r="777">
      <c r="E777" s="512"/>
      <c r="G777" s="285"/>
    </row>
    <row r="778">
      <c r="E778" s="512"/>
      <c r="G778" s="285"/>
    </row>
    <row r="779">
      <c r="E779" s="512"/>
      <c r="G779" s="285"/>
    </row>
    <row r="780">
      <c r="E780" s="512"/>
      <c r="G780" s="285"/>
    </row>
    <row r="781">
      <c r="E781" s="512"/>
      <c r="G781" s="285"/>
    </row>
    <row r="782">
      <c r="E782" s="512"/>
      <c r="G782" s="285"/>
    </row>
    <row r="783">
      <c r="E783" s="512"/>
      <c r="G783" s="285"/>
    </row>
    <row r="784">
      <c r="E784" s="512"/>
      <c r="G784" s="285"/>
    </row>
    <row r="785">
      <c r="E785" s="512"/>
      <c r="G785" s="285"/>
    </row>
    <row r="786">
      <c r="E786" s="512"/>
      <c r="G786" s="285"/>
    </row>
    <row r="787">
      <c r="E787" s="512"/>
      <c r="G787" s="285"/>
    </row>
    <row r="788">
      <c r="E788" s="512"/>
      <c r="G788" s="285"/>
    </row>
    <row r="789">
      <c r="E789" s="512"/>
      <c r="G789" s="285"/>
    </row>
    <row r="790">
      <c r="E790" s="512"/>
      <c r="G790" s="285"/>
    </row>
    <row r="791">
      <c r="E791" s="512"/>
      <c r="G791" s="285"/>
    </row>
    <row r="792">
      <c r="E792" s="512"/>
      <c r="G792" s="285"/>
    </row>
    <row r="793">
      <c r="E793" s="512"/>
      <c r="G793" s="285"/>
    </row>
    <row r="794">
      <c r="E794" s="512"/>
      <c r="G794" s="285"/>
    </row>
    <row r="795">
      <c r="E795" s="512"/>
      <c r="G795" s="285"/>
    </row>
    <row r="796">
      <c r="E796" s="512"/>
      <c r="G796" s="285"/>
    </row>
    <row r="797">
      <c r="E797" s="512"/>
      <c r="G797" s="285"/>
    </row>
    <row r="798">
      <c r="E798" s="512"/>
      <c r="G798" s="285"/>
    </row>
    <row r="799">
      <c r="E799" s="512"/>
      <c r="G799" s="285"/>
    </row>
    <row r="800">
      <c r="E800" s="512"/>
      <c r="G800" s="285"/>
    </row>
    <row r="801">
      <c r="E801" s="512"/>
      <c r="G801" s="285"/>
    </row>
    <row r="802">
      <c r="E802" s="512"/>
      <c r="G802" s="285"/>
    </row>
    <row r="803">
      <c r="E803" s="512"/>
      <c r="G803" s="285"/>
    </row>
    <row r="804">
      <c r="E804" s="512"/>
      <c r="G804" s="285"/>
    </row>
    <row r="805">
      <c r="E805" s="512"/>
      <c r="G805" s="285"/>
    </row>
    <row r="806">
      <c r="E806" s="512"/>
      <c r="G806" s="285"/>
    </row>
    <row r="807">
      <c r="E807" s="512"/>
      <c r="G807" s="285"/>
    </row>
    <row r="808">
      <c r="E808" s="512"/>
      <c r="G808" s="285"/>
    </row>
    <row r="809">
      <c r="E809" s="512"/>
      <c r="G809" s="285"/>
    </row>
    <row r="810">
      <c r="E810" s="512"/>
      <c r="G810" s="285"/>
    </row>
    <row r="811">
      <c r="E811" s="512"/>
      <c r="G811" s="285"/>
    </row>
    <row r="812">
      <c r="E812" s="512"/>
      <c r="G812" s="285"/>
    </row>
    <row r="813">
      <c r="E813" s="512"/>
      <c r="G813" s="285"/>
    </row>
    <row r="814">
      <c r="E814" s="512"/>
      <c r="G814" s="285"/>
    </row>
    <row r="815">
      <c r="E815" s="512"/>
      <c r="G815" s="285"/>
    </row>
    <row r="816">
      <c r="E816" s="512"/>
      <c r="G816" s="285"/>
    </row>
    <row r="817">
      <c r="E817" s="512"/>
      <c r="G817" s="285"/>
    </row>
    <row r="818">
      <c r="E818" s="512"/>
      <c r="G818" s="285"/>
    </row>
    <row r="819">
      <c r="E819" s="512"/>
      <c r="G819" s="285"/>
    </row>
    <row r="820">
      <c r="E820" s="512"/>
      <c r="G820" s="285"/>
    </row>
    <row r="821">
      <c r="E821" s="512"/>
      <c r="G821" s="285"/>
    </row>
    <row r="822">
      <c r="E822" s="512"/>
      <c r="G822" s="285"/>
    </row>
    <row r="823">
      <c r="E823" s="512"/>
      <c r="G823" s="285"/>
    </row>
    <row r="824">
      <c r="E824" s="512"/>
      <c r="G824" s="285"/>
    </row>
    <row r="825">
      <c r="E825" s="512"/>
      <c r="G825" s="285"/>
    </row>
    <row r="826">
      <c r="E826" s="512"/>
      <c r="G826" s="285"/>
    </row>
    <row r="827">
      <c r="E827" s="512"/>
      <c r="G827" s="285"/>
    </row>
    <row r="828">
      <c r="E828" s="512"/>
      <c r="G828" s="285"/>
    </row>
    <row r="829">
      <c r="E829" s="512"/>
      <c r="G829" s="285"/>
    </row>
    <row r="830">
      <c r="E830" s="512"/>
      <c r="G830" s="285"/>
    </row>
    <row r="831">
      <c r="E831" s="512"/>
      <c r="G831" s="285"/>
    </row>
    <row r="832">
      <c r="E832" s="512"/>
      <c r="G832" s="285"/>
    </row>
    <row r="833">
      <c r="E833" s="512"/>
      <c r="G833" s="285"/>
    </row>
    <row r="834">
      <c r="E834" s="512"/>
      <c r="G834" s="285"/>
    </row>
    <row r="835">
      <c r="E835" s="512"/>
      <c r="G835" s="285"/>
    </row>
    <row r="836">
      <c r="E836" s="512"/>
      <c r="G836" s="285"/>
    </row>
    <row r="837">
      <c r="E837" s="512"/>
      <c r="G837" s="285"/>
    </row>
    <row r="838">
      <c r="E838" s="512"/>
      <c r="G838" s="285"/>
    </row>
    <row r="839">
      <c r="E839" s="512"/>
      <c r="G839" s="285"/>
    </row>
    <row r="840">
      <c r="E840" s="512"/>
      <c r="G840" s="285"/>
    </row>
    <row r="841">
      <c r="E841" s="512"/>
      <c r="G841" s="285"/>
    </row>
    <row r="842">
      <c r="E842" s="512"/>
      <c r="G842" s="285"/>
    </row>
    <row r="843">
      <c r="E843" s="512"/>
      <c r="G843" s="285"/>
    </row>
    <row r="844">
      <c r="E844" s="512"/>
      <c r="G844" s="285"/>
    </row>
    <row r="845">
      <c r="E845" s="512"/>
      <c r="G845" s="285"/>
    </row>
    <row r="846">
      <c r="E846" s="512"/>
      <c r="G846" s="285"/>
    </row>
    <row r="847">
      <c r="E847" s="512"/>
      <c r="G847" s="285"/>
    </row>
    <row r="848">
      <c r="E848" s="512"/>
      <c r="G848" s="285"/>
    </row>
    <row r="849">
      <c r="E849" s="512"/>
      <c r="G849" s="285"/>
    </row>
    <row r="850">
      <c r="E850" s="512"/>
      <c r="G850" s="285"/>
    </row>
    <row r="851">
      <c r="E851" s="512"/>
      <c r="G851" s="285"/>
    </row>
    <row r="852">
      <c r="E852" s="512"/>
      <c r="G852" s="285"/>
    </row>
    <row r="853">
      <c r="E853" s="512"/>
      <c r="G853" s="285"/>
    </row>
    <row r="854">
      <c r="E854" s="512"/>
      <c r="G854" s="285"/>
    </row>
    <row r="855">
      <c r="E855" s="512"/>
      <c r="G855" s="285"/>
    </row>
    <row r="856">
      <c r="E856" s="512"/>
      <c r="G856" s="285"/>
    </row>
    <row r="857">
      <c r="E857" s="512"/>
      <c r="G857" s="285"/>
    </row>
    <row r="858">
      <c r="E858" s="512"/>
      <c r="G858" s="285"/>
    </row>
    <row r="859">
      <c r="E859" s="512"/>
      <c r="G859" s="285"/>
    </row>
    <row r="860">
      <c r="E860" s="512"/>
      <c r="G860" s="285"/>
    </row>
    <row r="861">
      <c r="E861" s="512"/>
      <c r="G861" s="285"/>
    </row>
    <row r="862">
      <c r="E862" s="512"/>
      <c r="G862" s="285"/>
    </row>
    <row r="863">
      <c r="E863" s="512"/>
      <c r="G863" s="285"/>
    </row>
    <row r="864">
      <c r="E864" s="512"/>
      <c r="G864" s="285"/>
    </row>
    <row r="865">
      <c r="E865" s="512"/>
      <c r="G865" s="285"/>
    </row>
    <row r="866">
      <c r="E866" s="512"/>
      <c r="G866" s="285"/>
    </row>
    <row r="867">
      <c r="E867" s="512"/>
      <c r="G867" s="285"/>
    </row>
    <row r="868">
      <c r="E868" s="512"/>
      <c r="G868" s="285"/>
    </row>
    <row r="869">
      <c r="E869" s="512"/>
      <c r="G869" s="285"/>
    </row>
    <row r="870">
      <c r="E870" s="512"/>
      <c r="G870" s="285"/>
    </row>
    <row r="871">
      <c r="E871" s="512"/>
      <c r="G871" s="285"/>
    </row>
    <row r="872">
      <c r="E872" s="512"/>
      <c r="G872" s="285"/>
    </row>
    <row r="873">
      <c r="E873" s="512"/>
      <c r="G873" s="285"/>
    </row>
    <row r="874">
      <c r="E874" s="512"/>
      <c r="G874" s="285"/>
    </row>
    <row r="875">
      <c r="E875" s="512"/>
      <c r="G875" s="285"/>
    </row>
    <row r="876">
      <c r="E876" s="512"/>
      <c r="G876" s="285"/>
    </row>
    <row r="877">
      <c r="E877" s="512"/>
      <c r="G877" s="285"/>
    </row>
    <row r="878">
      <c r="E878" s="512"/>
      <c r="G878" s="285"/>
    </row>
    <row r="879">
      <c r="E879" s="512"/>
      <c r="G879" s="285"/>
    </row>
    <row r="880">
      <c r="E880" s="512"/>
      <c r="G880" s="285"/>
    </row>
    <row r="881">
      <c r="E881" s="512"/>
      <c r="G881" s="285"/>
    </row>
    <row r="882">
      <c r="E882" s="512"/>
      <c r="G882" s="285"/>
    </row>
    <row r="883">
      <c r="E883" s="512"/>
      <c r="G883" s="285"/>
    </row>
    <row r="884">
      <c r="E884" s="512"/>
      <c r="G884" s="285"/>
    </row>
    <row r="885">
      <c r="E885" s="512"/>
      <c r="G885" s="285"/>
    </row>
    <row r="886">
      <c r="E886" s="512"/>
      <c r="G886" s="285"/>
    </row>
    <row r="887">
      <c r="E887" s="512"/>
      <c r="G887" s="285"/>
    </row>
    <row r="888">
      <c r="E888" s="512"/>
      <c r="G888" s="285"/>
    </row>
    <row r="889">
      <c r="E889" s="512"/>
      <c r="G889" s="285"/>
    </row>
    <row r="890">
      <c r="E890" s="512"/>
      <c r="G890" s="285"/>
    </row>
    <row r="891">
      <c r="E891" s="512"/>
      <c r="G891" s="285"/>
    </row>
    <row r="892">
      <c r="E892" s="512"/>
      <c r="G892" s="285"/>
    </row>
    <row r="893">
      <c r="E893" s="512"/>
      <c r="G893" s="285"/>
    </row>
    <row r="894">
      <c r="E894" s="512"/>
      <c r="G894" s="285"/>
    </row>
    <row r="895">
      <c r="E895" s="512"/>
      <c r="G895" s="285"/>
    </row>
    <row r="896">
      <c r="E896" s="512"/>
      <c r="G896" s="285"/>
    </row>
    <row r="897">
      <c r="E897" s="512"/>
      <c r="G897" s="285"/>
    </row>
    <row r="898">
      <c r="E898" s="512"/>
      <c r="G898" s="285"/>
    </row>
    <row r="899">
      <c r="E899" s="512"/>
      <c r="G899" s="285"/>
    </row>
    <row r="900">
      <c r="E900" s="512"/>
      <c r="G900" s="285"/>
    </row>
    <row r="901">
      <c r="E901" s="512"/>
      <c r="G901" s="285"/>
    </row>
    <row r="902">
      <c r="E902" s="512"/>
      <c r="G902" s="285"/>
    </row>
    <row r="903">
      <c r="E903" s="512"/>
      <c r="G903" s="285"/>
    </row>
    <row r="904">
      <c r="E904" s="512"/>
      <c r="G904" s="285"/>
    </row>
    <row r="905">
      <c r="E905" s="512"/>
      <c r="G905" s="285"/>
    </row>
    <row r="906">
      <c r="E906" s="512"/>
      <c r="G906" s="285"/>
    </row>
    <row r="907">
      <c r="E907" s="512"/>
      <c r="G907" s="285"/>
    </row>
    <row r="908">
      <c r="E908" s="512"/>
      <c r="G908" s="285"/>
    </row>
    <row r="909">
      <c r="E909" s="512"/>
      <c r="G909" s="285"/>
    </row>
    <row r="910">
      <c r="E910" s="512"/>
      <c r="G910" s="285"/>
    </row>
    <row r="911">
      <c r="E911" s="512"/>
      <c r="G911" s="285"/>
    </row>
    <row r="912">
      <c r="E912" s="512"/>
      <c r="G912" s="285"/>
    </row>
    <row r="913">
      <c r="E913" s="512"/>
      <c r="G913" s="285"/>
    </row>
    <row r="914">
      <c r="E914" s="512"/>
      <c r="G914" s="285"/>
    </row>
    <row r="915">
      <c r="E915" s="512"/>
      <c r="G915" s="285"/>
    </row>
    <row r="916">
      <c r="E916" s="512"/>
      <c r="G916" s="285"/>
    </row>
    <row r="917">
      <c r="E917" s="512"/>
      <c r="G917" s="285"/>
    </row>
    <row r="918">
      <c r="E918" s="512"/>
      <c r="G918" s="285"/>
    </row>
    <row r="919">
      <c r="E919" s="512"/>
      <c r="G919" s="285"/>
    </row>
    <row r="920">
      <c r="E920" s="512"/>
      <c r="G920" s="285"/>
    </row>
    <row r="921">
      <c r="E921" s="512"/>
      <c r="G921" s="285"/>
    </row>
    <row r="922">
      <c r="E922" s="512"/>
      <c r="G922" s="285"/>
    </row>
    <row r="923">
      <c r="E923" s="512"/>
      <c r="G923" s="285"/>
    </row>
    <row r="924">
      <c r="E924" s="512"/>
      <c r="G924" s="285"/>
    </row>
    <row r="925">
      <c r="E925" s="512"/>
      <c r="G925" s="285"/>
    </row>
    <row r="926">
      <c r="E926" s="512"/>
      <c r="G926" s="285"/>
    </row>
    <row r="927">
      <c r="E927" s="512"/>
      <c r="G927" s="285"/>
    </row>
    <row r="928">
      <c r="E928" s="512"/>
      <c r="G928" s="285"/>
    </row>
    <row r="929">
      <c r="E929" s="512"/>
      <c r="G929" s="285"/>
    </row>
    <row r="930">
      <c r="E930" s="512"/>
      <c r="G930" s="285"/>
    </row>
    <row r="931">
      <c r="E931" s="512"/>
      <c r="G931" s="285"/>
    </row>
    <row r="932">
      <c r="E932" s="512"/>
      <c r="G932" s="285"/>
    </row>
    <row r="933">
      <c r="E933" s="512"/>
      <c r="G933" s="285"/>
    </row>
    <row r="934">
      <c r="E934" s="512"/>
      <c r="G934" s="285"/>
    </row>
    <row r="935">
      <c r="E935" s="512"/>
      <c r="G935" s="285"/>
    </row>
    <row r="936">
      <c r="E936" s="512"/>
      <c r="G936" s="285"/>
    </row>
    <row r="937">
      <c r="E937" s="512"/>
      <c r="G937" s="285"/>
    </row>
    <row r="938">
      <c r="E938" s="512"/>
      <c r="G938" s="285"/>
    </row>
    <row r="939">
      <c r="E939" s="512"/>
      <c r="G939" s="285"/>
    </row>
    <row r="940">
      <c r="E940" s="512"/>
      <c r="G940" s="285"/>
    </row>
    <row r="941">
      <c r="E941" s="512"/>
      <c r="G941" s="285"/>
    </row>
    <row r="942">
      <c r="E942" s="512"/>
      <c r="G942" s="285"/>
    </row>
    <row r="943">
      <c r="E943" s="512"/>
      <c r="G943" s="285"/>
    </row>
    <row r="944">
      <c r="E944" s="512"/>
      <c r="G944" s="285"/>
    </row>
    <row r="945">
      <c r="E945" s="512"/>
      <c r="G945" s="285"/>
    </row>
    <row r="946">
      <c r="E946" s="512"/>
      <c r="G946" s="285"/>
    </row>
    <row r="947">
      <c r="E947" s="512"/>
      <c r="G947" s="285"/>
    </row>
    <row r="948">
      <c r="E948" s="512"/>
      <c r="G948" s="285"/>
    </row>
    <row r="949">
      <c r="E949" s="512"/>
      <c r="G949" s="285"/>
    </row>
    <row r="950">
      <c r="E950" s="512"/>
      <c r="G950" s="285"/>
    </row>
    <row r="951">
      <c r="E951" s="512"/>
      <c r="G951" s="285"/>
    </row>
    <row r="952">
      <c r="E952" s="512"/>
      <c r="G952" s="285"/>
    </row>
    <row r="953">
      <c r="E953" s="512"/>
      <c r="G953" s="285"/>
    </row>
    <row r="954">
      <c r="E954" s="512"/>
      <c r="G954" s="285"/>
    </row>
    <row r="955">
      <c r="E955" s="512"/>
      <c r="G955" s="285"/>
    </row>
    <row r="956">
      <c r="E956" s="512"/>
      <c r="G956" s="285"/>
    </row>
    <row r="957">
      <c r="E957" s="512"/>
      <c r="G957" s="285"/>
    </row>
    <row r="958">
      <c r="E958" s="512"/>
      <c r="G958" s="285"/>
    </row>
    <row r="959">
      <c r="E959" s="512"/>
      <c r="G959" s="285"/>
    </row>
    <row r="960">
      <c r="E960" s="512"/>
      <c r="G960" s="285"/>
    </row>
    <row r="961">
      <c r="E961" s="512"/>
      <c r="G961" s="285"/>
    </row>
    <row r="962">
      <c r="E962" s="512"/>
      <c r="G962" s="285"/>
    </row>
    <row r="963">
      <c r="E963" s="512"/>
      <c r="G963" s="285"/>
    </row>
    <row r="964">
      <c r="E964" s="512"/>
      <c r="G964" s="285"/>
    </row>
    <row r="965">
      <c r="E965" s="512"/>
      <c r="G965" s="285"/>
    </row>
    <row r="966">
      <c r="E966" s="512"/>
      <c r="G966" s="285"/>
    </row>
    <row r="967">
      <c r="E967" s="512"/>
      <c r="G967" s="285"/>
    </row>
    <row r="968">
      <c r="E968" s="512"/>
      <c r="G968" s="285"/>
    </row>
    <row r="969">
      <c r="E969" s="512"/>
      <c r="G969" s="285"/>
    </row>
    <row r="970">
      <c r="E970" s="512"/>
      <c r="G970" s="285"/>
    </row>
    <row r="971">
      <c r="E971" s="512"/>
      <c r="G971" s="285"/>
    </row>
    <row r="972">
      <c r="E972" s="512"/>
      <c r="G972" s="285"/>
    </row>
    <row r="973">
      <c r="E973" s="512"/>
      <c r="G973" s="285"/>
    </row>
    <row r="974">
      <c r="E974" s="512"/>
      <c r="G974" s="285"/>
    </row>
    <row r="975">
      <c r="E975" s="512"/>
      <c r="G975" s="285"/>
    </row>
    <row r="976">
      <c r="E976" s="512"/>
      <c r="G976" s="285"/>
    </row>
    <row r="977">
      <c r="E977" s="512"/>
      <c r="G977" s="285"/>
    </row>
    <row r="978">
      <c r="E978" s="512"/>
      <c r="G978" s="285"/>
    </row>
    <row r="979">
      <c r="E979" s="512"/>
      <c r="G979" s="285"/>
    </row>
    <row r="980">
      <c r="E980" s="512"/>
      <c r="G980" s="285"/>
    </row>
    <row r="981">
      <c r="E981" s="512"/>
      <c r="G981" s="285"/>
    </row>
    <row r="982">
      <c r="E982" s="512"/>
      <c r="G982" s="285"/>
    </row>
    <row r="983">
      <c r="E983" s="512"/>
      <c r="G983" s="285"/>
    </row>
    <row r="984">
      <c r="E984" s="512"/>
      <c r="G984" s="285"/>
    </row>
    <row r="985">
      <c r="E985" s="512"/>
      <c r="G985" s="285"/>
    </row>
    <row r="986">
      <c r="E986" s="512"/>
      <c r="G986" s="285"/>
    </row>
    <row r="987">
      <c r="E987" s="512"/>
      <c r="G987" s="285"/>
    </row>
    <row r="988">
      <c r="E988" s="512"/>
      <c r="G988" s="285"/>
    </row>
    <row r="989">
      <c r="E989" s="512"/>
      <c r="G989" s="285"/>
    </row>
    <row r="990">
      <c r="E990" s="512"/>
      <c r="G990" s="285"/>
    </row>
    <row r="991">
      <c r="E991" s="512"/>
      <c r="G991" s="285"/>
    </row>
    <row r="992">
      <c r="E992" s="512"/>
      <c r="G992" s="285"/>
    </row>
    <row r="993">
      <c r="E993" s="512"/>
      <c r="G993" s="285"/>
    </row>
    <row r="994">
      <c r="E994" s="512"/>
      <c r="G994" s="285"/>
    </row>
    <row r="995">
      <c r="E995" s="512"/>
      <c r="G995" s="285"/>
    </row>
    <row r="996">
      <c r="E996" s="512"/>
      <c r="G996" s="285"/>
    </row>
    <row r="997">
      <c r="E997" s="512"/>
      <c r="G997" s="285"/>
    </row>
    <row r="998">
      <c r="E998" s="512"/>
      <c r="G998" s="285"/>
    </row>
    <row r="999">
      <c r="E999" s="512"/>
      <c r="G999" s="285"/>
    </row>
    <row r="1000">
      <c r="E1000" s="512"/>
      <c r="G1000" s="285"/>
    </row>
  </sheetData>
  <drawing r:id="rId1"/>
</worksheet>
</file>